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-3B Monthly" sheetId="1" state="visible" r:id="rId1"/>
    <sheet xmlns:r="http://schemas.openxmlformats.org/officeDocument/2006/relationships" name="GSTR-2A vs 3B Rec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C00000"/>
      <sz val="10"/>
    </font>
    <font>
      <name val="Arial"/>
      <b val="1"/>
      <color rgb="001F4E79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0" fontId="4" fillId="3" borderId="1" pivotButton="0" quotePrefix="0" xfId="0"/>
    <xf numFmtId="4" fontId="4" fillId="3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0" fontId="5" fillId="0" borderId="1" pivotButton="0" quotePrefix="0" xfId="0"/>
    <xf numFmtId="0" fontId="4" fillId="4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  <col width="16" customWidth="1" min="5" max="5"/>
    <col width="14" customWidth="1" min="6" max="6"/>
    <col width="14" customWidth="1" min="7" max="7"/>
    <col width="18" customWidth="1" min="8" max="8"/>
    <col width="16" customWidth="1" min="9" max="9"/>
    <col width="16" customWidth="1" min="10" max="10"/>
    <col width="14" customWidth="1" min="11" max="11"/>
  </cols>
  <sheetData>
    <row r="1">
      <c r="A1" s="1" t="inlineStr">
        <is>
          <t>GSTR-3B Summary | GSTIN: 24AACFL0054P1ZM | Vedanta Limited | FY2023-24</t>
        </is>
      </c>
    </row>
    <row r="2">
      <c r="A2" t="inlineStr"/>
    </row>
    <row r="3" ht="32" customHeight="1">
      <c r="A3" s="2" t="inlineStr">
        <is>
          <t>Month</t>
        </is>
      </c>
      <c r="B3" s="2" t="inlineStr">
        <is>
          <t>Outward B2B (₹Cr)</t>
        </is>
      </c>
      <c r="C3" s="2" t="inlineStr">
        <is>
          <t>Outward B2C (₹Cr)</t>
        </is>
      </c>
      <c r="D3" s="2" t="inlineStr">
        <is>
          <t>Total Outward (₹Cr)</t>
        </is>
      </c>
      <c r="E3" s="2" t="inlineStr">
        <is>
          <t>Output IGST (₹Cr)</t>
        </is>
      </c>
      <c r="F3" s="2" t="inlineStr">
        <is>
          <t>Output CGST (₹Cr)</t>
        </is>
      </c>
      <c r="G3" s="2" t="inlineStr">
        <is>
          <t>Output SGST (₹Cr)</t>
        </is>
      </c>
      <c r="H3" s="2" t="inlineStr">
        <is>
          <t>Total Output Tax (₹Cr)</t>
        </is>
      </c>
      <c r="I3" s="2" t="inlineStr">
        <is>
          <t>ITC Claimed 3B (₹Cr)</t>
        </is>
      </c>
      <c r="J3" s="2" t="inlineStr">
        <is>
          <t>Net Tax Payable (₹Cr)</t>
        </is>
      </c>
      <c r="K3" s="2" t="inlineStr">
        <is>
          <t>Filing Status</t>
        </is>
      </c>
    </row>
    <row r="4">
      <c r="A4" s="3" t="inlineStr">
        <is>
          <t>Apr-23</t>
        </is>
      </c>
      <c r="B4" s="4" t="n">
        <v>2574</v>
      </c>
      <c r="C4" s="4" t="n">
        <v>346.5</v>
      </c>
      <c r="D4" s="4" t="n">
        <v>2920.5</v>
      </c>
      <c r="E4" s="4" t="n">
        <v>228.69</v>
      </c>
      <c r="F4" s="4" t="n">
        <v>93.56</v>
      </c>
      <c r="G4" s="4" t="n">
        <v>93.56</v>
      </c>
      <c r="H4" s="4" t="n">
        <v>415.8</v>
      </c>
      <c r="I4" s="4" t="n">
        <v>337.5</v>
      </c>
      <c r="J4" s="4" t="n">
        <v>78.3</v>
      </c>
      <c r="K4" s="3" t="inlineStr">
        <is>
          <t>Filed</t>
        </is>
      </c>
    </row>
    <row r="5">
      <c r="A5" s="3" t="inlineStr">
        <is>
          <t>May-23</t>
        </is>
      </c>
      <c r="B5" s="4" t="n">
        <v>2288</v>
      </c>
      <c r="C5" s="4" t="n">
        <v>308</v>
      </c>
      <c r="D5" s="4" t="n">
        <v>2596</v>
      </c>
      <c r="E5" s="4" t="n">
        <v>203.28</v>
      </c>
      <c r="F5" s="4" t="n">
        <v>83.16</v>
      </c>
      <c r="G5" s="4" t="n">
        <v>83.16</v>
      </c>
      <c r="H5" s="4" t="n">
        <v>369.6</v>
      </c>
      <c r="I5" s="4" t="n">
        <v>300</v>
      </c>
      <c r="J5" s="4" t="n">
        <v>69.59999999999999</v>
      </c>
      <c r="K5" s="3" t="inlineStr">
        <is>
          <t>Filed</t>
        </is>
      </c>
    </row>
    <row r="6">
      <c r="A6" s="3" t="inlineStr">
        <is>
          <t>Jun-23</t>
        </is>
      </c>
      <c r="B6" s="4" t="n">
        <v>2288</v>
      </c>
      <c r="C6" s="4" t="n">
        <v>308</v>
      </c>
      <c r="D6" s="4" t="n">
        <v>2596</v>
      </c>
      <c r="E6" s="4" t="n">
        <v>203.28</v>
      </c>
      <c r="F6" s="4" t="n">
        <v>83.16</v>
      </c>
      <c r="G6" s="4" t="n">
        <v>83.16</v>
      </c>
      <c r="H6" s="4" t="n">
        <v>369.6</v>
      </c>
      <c r="I6" s="4" t="n">
        <v>300</v>
      </c>
      <c r="J6" s="4" t="n">
        <v>69.59999999999999</v>
      </c>
      <c r="K6" s="3" t="inlineStr">
        <is>
          <t>Filed</t>
        </is>
      </c>
    </row>
    <row r="7">
      <c r="A7" s="3" t="inlineStr">
        <is>
          <t>Jul-23</t>
        </is>
      </c>
      <c r="B7" s="4" t="n">
        <v>2574</v>
      </c>
      <c r="C7" s="4" t="n">
        <v>346.5</v>
      </c>
      <c r="D7" s="4" t="n">
        <v>2920.5</v>
      </c>
      <c r="E7" s="4" t="n">
        <v>228.69</v>
      </c>
      <c r="F7" s="4" t="n">
        <v>93.56</v>
      </c>
      <c r="G7" s="4" t="n">
        <v>93.56</v>
      </c>
      <c r="H7" s="4" t="n">
        <v>415.8</v>
      </c>
      <c r="I7" s="4" t="n">
        <v>337.5</v>
      </c>
      <c r="J7" s="4" t="n">
        <v>78.3</v>
      </c>
      <c r="K7" s="3" t="inlineStr">
        <is>
          <t>Filed</t>
        </is>
      </c>
    </row>
    <row r="8">
      <c r="A8" s="3" t="inlineStr">
        <is>
          <t>Aug-23</t>
        </is>
      </c>
      <c r="B8" s="4" t="n">
        <v>2574</v>
      </c>
      <c r="C8" s="4" t="n">
        <v>346.5</v>
      </c>
      <c r="D8" s="4" t="n">
        <v>2920.5</v>
      </c>
      <c r="E8" s="4" t="n">
        <v>228.69</v>
      </c>
      <c r="F8" s="4" t="n">
        <v>93.56</v>
      </c>
      <c r="G8" s="4" t="n">
        <v>93.56</v>
      </c>
      <c r="H8" s="4" t="n">
        <v>415.8</v>
      </c>
      <c r="I8" s="4" t="n">
        <v>337.5</v>
      </c>
      <c r="J8" s="4" t="n">
        <v>78.3</v>
      </c>
      <c r="K8" s="3" t="inlineStr">
        <is>
          <t>Filed</t>
        </is>
      </c>
    </row>
    <row r="9">
      <c r="A9" s="3" t="inlineStr">
        <is>
          <t>Sep-23</t>
        </is>
      </c>
      <c r="B9" s="4" t="n">
        <v>2288</v>
      </c>
      <c r="C9" s="4" t="n">
        <v>308</v>
      </c>
      <c r="D9" s="4" t="n">
        <v>2596</v>
      </c>
      <c r="E9" s="4" t="n">
        <v>203.28</v>
      </c>
      <c r="F9" s="4" t="n">
        <v>83.16</v>
      </c>
      <c r="G9" s="4" t="n">
        <v>83.16</v>
      </c>
      <c r="H9" s="4" t="n">
        <v>369.6</v>
      </c>
      <c r="I9" s="4" t="n">
        <v>300</v>
      </c>
      <c r="J9" s="4" t="n">
        <v>69.59999999999999</v>
      </c>
      <c r="K9" s="3" t="inlineStr">
        <is>
          <t>Filed</t>
        </is>
      </c>
    </row>
    <row r="10">
      <c r="A10" s="3" t="inlineStr">
        <is>
          <t>Oct-23</t>
        </is>
      </c>
      <c r="B10" s="4" t="n">
        <v>2288</v>
      </c>
      <c r="C10" s="4" t="n">
        <v>308</v>
      </c>
      <c r="D10" s="4" t="n">
        <v>2596</v>
      </c>
      <c r="E10" s="4" t="n">
        <v>203.28</v>
      </c>
      <c r="F10" s="4" t="n">
        <v>83.16</v>
      </c>
      <c r="G10" s="4" t="n">
        <v>83.16</v>
      </c>
      <c r="H10" s="4" t="n">
        <v>369.6</v>
      </c>
      <c r="I10" s="4" t="n">
        <v>300</v>
      </c>
      <c r="J10" s="4" t="n">
        <v>69.59999999999999</v>
      </c>
      <c r="K10" s="3" t="inlineStr">
        <is>
          <t>Filed</t>
        </is>
      </c>
    </row>
    <row r="11">
      <c r="A11" s="3" t="inlineStr">
        <is>
          <t>Nov-23</t>
        </is>
      </c>
      <c r="B11" s="4" t="n">
        <v>2002</v>
      </c>
      <c r="C11" s="4" t="n">
        <v>269.5</v>
      </c>
      <c r="D11" s="4" t="n">
        <v>2271.5</v>
      </c>
      <c r="E11" s="4" t="n">
        <v>177.87</v>
      </c>
      <c r="F11" s="4" t="n">
        <v>72.77</v>
      </c>
      <c r="G11" s="4" t="n">
        <v>72.77</v>
      </c>
      <c r="H11" s="4" t="n">
        <v>323.4</v>
      </c>
      <c r="I11" s="4" t="n">
        <v>262.5</v>
      </c>
      <c r="J11" s="4" t="n">
        <v>60.9</v>
      </c>
      <c r="K11" s="3" t="inlineStr">
        <is>
          <t>Filed</t>
        </is>
      </c>
    </row>
    <row r="12">
      <c r="A12" s="3" t="inlineStr">
        <is>
          <t>Dec-23</t>
        </is>
      </c>
      <c r="B12" s="4" t="n">
        <v>2288</v>
      </c>
      <c r="C12" s="4" t="n">
        <v>308</v>
      </c>
      <c r="D12" s="4" t="n">
        <v>2596</v>
      </c>
      <c r="E12" s="4" t="n">
        <v>203.28</v>
      </c>
      <c r="F12" s="4" t="n">
        <v>83.16</v>
      </c>
      <c r="G12" s="4" t="n">
        <v>83.16</v>
      </c>
      <c r="H12" s="4" t="n">
        <v>369.6</v>
      </c>
      <c r="I12" s="4" t="n">
        <v>300</v>
      </c>
      <c r="J12" s="4" t="n">
        <v>69.59999999999999</v>
      </c>
      <c r="K12" s="3" t="inlineStr">
        <is>
          <t>Filed</t>
        </is>
      </c>
    </row>
    <row r="13">
      <c r="A13" s="3" t="inlineStr">
        <is>
          <t>Jan-24</t>
        </is>
      </c>
      <c r="B13" s="4" t="n">
        <v>2288</v>
      </c>
      <c r="C13" s="4" t="n">
        <v>308</v>
      </c>
      <c r="D13" s="4" t="n">
        <v>2596</v>
      </c>
      <c r="E13" s="4" t="n">
        <v>203.28</v>
      </c>
      <c r="F13" s="4" t="n">
        <v>83.16</v>
      </c>
      <c r="G13" s="4" t="n">
        <v>83.16</v>
      </c>
      <c r="H13" s="4" t="n">
        <v>369.6</v>
      </c>
      <c r="I13" s="4" t="n">
        <v>300</v>
      </c>
      <c r="J13" s="4" t="n">
        <v>69.59999999999999</v>
      </c>
      <c r="K13" s="3" t="inlineStr">
        <is>
          <t>Filed</t>
        </is>
      </c>
    </row>
    <row r="14">
      <c r="A14" s="3" t="inlineStr">
        <is>
          <t>Feb-24</t>
        </is>
      </c>
      <c r="B14" s="4" t="n">
        <v>2574</v>
      </c>
      <c r="C14" s="4" t="n">
        <v>346.5</v>
      </c>
      <c r="D14" s="4" t="n">
        <v>2920.5</v>
      </c>
      <c r="E14" s="4" t="n">
        <v>228.69</v>
      </c>
      <c r="F14" s="4" t="n">
        <v>93.56</v>
      </c>
      <c r="G14" s="4" t="n">
        <v>93.56</v>
      </c>
      <c r="H14" s="4" t="n">
        <v>415.8</v>
      </c>
      <c r="I14" s="4" t="n">
        <v>337.5</v>
      </c>
      <c r="J14" s="4" t="n">
        <v>78.3</v>
      </c>
      <c r="K14" s="3" t="inlineStr">
        <is>
          <t>Filed</t>
        </is>
      </c>
    </row>
    <row r="15">
      <c r="A15" s="3" t="inlineStr">
        <is>
          <t>Mar-24</t>
        </is>
      </c>
      <c r="B15" s="4" t="n">
        <v>2574</v>
      </c>
      <c r="C15" s="4" t="n">
        <v>346.5</v>
      </c>
      <c r="D15" s="4" t="n">
        <v>2920.5</v>
      </c>
      <c r="E15" s="4" t="n">
        <v>228.69</v>
      </c>
      <c r="F15" s="4" t="n">
        <v>93.56</v>
      </c>
      <c r="G15" s="4" t="n">
        <v>93.56</v>
      </c>
      <c r="H15" s="4" t="n">
        <v>415.8</v>
      </c>
      <c r="I15" s="4" t="n">
        <v>337.5</v>
      </c>
      <c r="J15" s="4" t="n">
        <v>78.3</v>
      </c>
      <c r="K15" s="3" t="inlineStr">
        <is>
          <t>Filed</t>
        </is>
      </c>
    </row>
    <row r="16">
      <c r="A16" s="5" t="inlineStr">
        <is>
          <t>ANNUAL TOTAL</t>
        </is>
      </c>
      <c r="B16" s="6">
        <f>SUM(B4:B15)</f>
        <v/>
      </c>
      <c r="C16" s="6">
        <f>SUM(C4:C15)</f>
        <v/>
      </c>
      <c r="D16" s="6">
        <f>SUM(D4:D15)</f>
        <v/>
      </c>
      <c r="E16" s="6">
        <f>SUM(E4:E15)</f>
        <v/>
      </c>
      <c r="F16" s="6">
        <f>SUM(F4:F15)</f>
        <v/>
      </c>
      <c r="G16" s="6">
        <f>SUM(G4:G15)</f>
        <v/>
      </c>
      <c r="H16" s="6">
        <f>SUM(H4:H15)</f>
        <v/>
      </c>
      <c r="I16" s="6">
        <f>SUM(I4:I15)</f>
        <v/>
      </c>
      <c r="J16" s="6">
        <f>SUM(J4:J15)</f>
        <v/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8" customWidth="1" min="4" max="4"/>
    <col width="14" customWidth="1" min="5" max="5"/>
    <col width="45" customWidth="1" min="6" max="6"/>
  </cols>
  <sheetData>
    <row r="1">
      <c r="A1" s="1" t="inlineStr">
        <is>
          <t>GSTR-2A vs 3B ITC Reconciliation | Vedanta Limited | FY2023-24</t>
        </is>
      </c>
    </row>
    <row r="2">
      <c r="A2" t="inlineStr"/>
    </row>
    <row r="3" ht="28" customHeight="1">
      <c r="A3" s="2" t="inlineStr">
        <is>
          <t>Month</t>
        </is>
      </c>
      <c r="B3" s="2" t="inlineStr">
        <is>
          <t>ITC in GSTR-2A (₹Cr)</t>
        </is>
      </c>
      <c r="C3" s="2" t="inlineStr">
        <is>
          <t>ITC Claimed in 3B (₹Cr)</t>
        </is>
      </c>
      <c r="D3" s="2" t="inlineStr">
        <is>
          <t>Difference (₹Cr)</t>
        </is>
      </c>
      <c r="E3" s="2" t="inlineStr">
        <is>
          <t>Mismatch %</t>
        </is>
      </c>
      <c r="F3" s="2" t="inlineStr">
        <is>
          <t>Remark</t>
        </is>
      </c>
    </row>
    <row r="4">
      <c r="A4" s="3" t="inlineStr">
        <is>
          <t>Apr-23</t>
        </is>
      </c>
      <c r="B4" s="4" t="n">
        <v>261</v>
      </c>
      <c r="C4" s="4" t="n">
        <v>337.5</v>
      </c>
      <c r="D4" s="7" t="n">
        <v>76.5</v>
      </c>
      <c r="E4" s="3" t="inlineStr">
        <is>
          <t>29.3%</t>
        </is>
      </c>
      <c r="F4" s="8" t="inlineStr">
        <is>
          <t>⚠ HIGH MISMATCH — Verify supplier compliance</t>
        </is>
      </c>
    </row>
    <row r="5">
      <c r="A5" s="3" t="inlineStr">
        <is>
          <t>May-23</t>
        </is>
      </c>
      <c r="B5" s="4" t="n">
        <v>232</v>
      </c>
      <c r="C5" s="4" t="n">
        <v>300</v>
      </c>
      <c r="D5" s="7" t="n">
        <v>68</v>
      </c>
      <c r="E5" s="3" t="inlineStr">
        <is>
          <t>29.3%</t>
        </is>
      </c>
      <c r="F5" s="8" t="inlineStr">
        <is>
          <t>⚠ HIGH MISMATCH — Verify supplier compliance</t>
        </is>
      </c>
    </row>
    <row r="6">
      <c r="A6" s="3" t="inlineStr">
        <is>
          <t>Jun-23</t>
        </is>
      </c>
      <c r="B6" s="4" t="n">
        <v>232</v>
      </c>
      <c r="C6" s="4" t="n">
        <v>300</v>
      </c>
      <c r="D6" s="7" t="n">
        <v>68</v>
      </c>
      <c r="E6" s="3" t="inlineStr">
        <is>
          <t>29.3%</t>
        </is>
      </c>
      <c r="F6" s="8" t="inlineStr">
        <is>
          <t>⚠ HIGH MISMATCH — Verify supplier compliance</t>
        </is>
      </c>
    </row>
    <row r="7">
      <c r="A7" s="3" t="inlineStr">
        <is>
          <t>Jul-23</t>
        </is>
      </c>
      <c r="B7" s="4" t="n">
        <v>261</v>
      </c>
      <c r="C7" s="4" t="n">
        <v>337.5</v>
      </c>
      <c r="D7" s="7" t="n">
        <v>76.5</v>
      </c>
      <c r="E7" s="3" t="inlineStr">
        <is>
          <t>29.3%</t>
        </is>
      </c>
      <c r="F7" s="8" t="inlineStr">
        <is>
          <t>⚠ HIGH MISMATCH — Verify supplier compliance</t>
        </is>
      </c>
    </row>
    <row r="8">
      <c r="A8" s="3" t="inlineStr">
        <is>
          <t>Aug-23</t>
        </is>
      </c>
      <c r="B8" s="4" t="n">
        <v>261</v>
      </c>
      <c r="C8" s="4" t="n">
        <v>337.5</v>
      </c>
      <c r="D8" s="7" t="n">
        <v>76.5</v>
      </c>
      <c r="E8" s="3" t="inlineStr">
        <is>
          <t>29.3%</t>
        </is>
      </c>
      <c r="F8" s="8" t="inlineStr">
        <is>
          <t>⚠ HIGH MISMATCH — Verify supplier compliance</t>
        </is>
      </c>
    </row>
    <row r="9">
      <c r="A9" s="3" t="inlineStr">
        <is>
          <t>Sep-23</t>
        </is>
      </c>
      <c r="B9" s="4" t="n">
        <v>232</v>
      </c>
      <c r="C9" s="4" t="n">
        <v>300</v>
      </c>
      <c r="D9" s="7" t="n">
        <v>68</v>
      </c>
      <c r="E9" s="3" t="inlineStr">
        <is>
          <t>29.3%</t>
        </is>
      </c>
      <c r="F9" s="8" t="inlineStr">
        <is>
          <t>⚠ HIGH MISMATCH — Verify supplier compliance</t>
        </is>
      </c>
    </row>
    <row r="10">
      <c r="A10" s="3" t="inlineStr">
        <is>
          <t>Oct-23</t>
        </is>
      </c>
      <c r="B10" s="4" t="n">
        <v>232</v>
      </c>
      <c r="C10" s="4" t="n">
        <v>300</v>
      </c>
      <c r="D10" s="7" t="n">
        <v>68</v>
      </c>
      <c r="E10" s="3" t="inlineStr">
        <is>
          <t>29.3%</t>
        </is>
      </c>
      <c r="F10" s="8" t="inlineStr">
        <is>
          <t>⚠ HIGH MISMATCH — Verify supplier compliance</t>
        </is>
      </c>
    </row>
    <row r="11">
      <c r="A11" s="3" t="inlineStr">
        <is>
          <t>Nov-23</t>
        </is>
      </c>
      <c r="B11" s="4" t="n">
        <v>203</v>
      </c>
      <c r="C11" s="4" t="n">
        <v>262.5</v>
      </c>
      <c r="D11" s="7" t="n">
        <v>59.5</v>
      </c>
      <c r="E11" s="3" t="inlineStr">
        <is>
          <t>29.3%</t>
        </is>
      </c>
      <c r="F11" s="8" t="inlineStr">
        <is>
          <t>⚠ HIGH MISMATCH — Verify supplier compliance</t>
        </is>
      </c>
    </row>
    <row r="12">
      <c r="A12" s="3" t="inlineStr">
        <is>
          <t>Dec-23</t>
        </is>
      </c>
      <c r="B12" s="4" t="n">
        <v>232</v>
      </c>
      <c r="C12" s="4" t="n">
        <v>300</v>
      </c>
      <c r="D12" s="7" t="n">
        <v>68</v>
      </c>
      <c r="E12" s="3" t="inlineStr">
        <is>
          <t>29.3%</t>
        </is>
      </c>
      <c r="F12" s="8" t="inlineStr">
        <is>
          <t>⚠ HIGH MISMATCH — Verify supplier compliance</t>
        </is>
      </c>
    </row>
    <row r="13">
      <c r="A13" s="3" t="inlineStr">
        <is>
          <t>Jan-24</t>
        </is>
      </c>
      <c r="B13" s="4" t="n">
        <v>232</v>
      </c>
      <c r="C13" s="4" t="n">
        <v>300</v>
      </c>
      <c r="D13" s="7" t="n">
        <v>68</v>
      </c>
      <c r="E13" s="3" t="inlineStr">
        <is>
          <t>29.3%</t>
        </is>
      </c>
      <c r="F13" s="8" t="inlineStr">
        <is>
          <t>⚠ HIGH MISMATCH — Verify supplier compliance</t>
        </is>
      </c>
    </row>
    <row r="14">
      <c r="A14" s="3" t="inlineStr">
        <is>
          <t>Feb-24</t>
        </is>
      </c>
      <c r="B14" s="4" t="n">
        <v>261</v>
      </c>
      <c r="C14" s="4" t="n">
        <v>337.5</v>
      </c>
      <c r="D14" s="7" t="n">
        <v>76.5</v>
      </c>
      <c r="E14" s="3" t="inlineStr">
        <is>
          <t>29.3%</t>
        </is>
      </c>
      <c r="F14" s="8" t="inlineStr">
        <is>
          <t>⚠ HIGH MISMATCH — Verify supplier compliance</t>
        </is>
      </c>
    </row>
    <row r="15">
      <c r="A15" s="3" t="inlineStr">
        <is>
          <t>Mar-24</t>
        </is>
      </c>
      <c r="B15" s="4" t="n">
        <v>261</v>
      </c>
      <c r="C15" s="4" t="n">
        <v>337.5</v>
      </c>
      <c r="D15" s="7" t="n">
        <v>76.5</v>
      </c>
      <c r="E15" s="3" t="inlineStr">
        <is>
          <t>29.3%</t>
        </is>
      </c>
      <c r="F15" s="8" t="inlineStr">
        <is>
          <t>⚠ HIGH MISMATCH — Verify supplier compliance</t>
        </is>
      </c>
    </row>
    <row r="16">
      <c r="A16" t="inlineStr"/>
    </row>
    <row r="18">
      <c r="A18" s="9" t="inlineStr">
        <is>
          <t>ANNUAL RECONCILIATION SUMMARY</t>
        </is>
      </c>
    </row>
    <row r="19">
      <c r="A19" s="2" t="inlineStr">
        <is>
          <t>Metric</t>
        </is>
      </c>
      <c r="B19" s="2" t="inlineStr">
        <is>
          <t>Value (₹ Cr)</t>
        </is>
      </c>
      <c r="C19" s="2" t="inlineStr">
        <is>
          <t>Observation</t>
        </is>
      </c>
    </row>
    <row r="20">
      <c r="A20" s="3" t="inlineStr">
        <is>
          <t>Total ITC Available per GSTR-2A</t>
        </is>
      </c>
      <c r="B20" s="4" t="n">
        <v>2900</v>
      </c>
      <c r="C20" s="10" t="inlineStr">
        <is>
          <t>Auto-populated from supplier GSTR-1</t>
        </is>
      </c>
    </row>
    <row r="21">
      <c r="A21" s="3" t="inlineStr">
        <is>
          <t>Total ITC Claimed in GSTR-3B</t>
        </is>
      </c>
      <c r="B21" s="4" t="n">
        <v>3750</v>
      </c>
      <c r="C21" s="10" t="inlineStr">
        <is>
          <t>Self-declared by company</t>
        </is>
      </c>
    </row>
    <row r="22">
      <c r="A22" s="3" t="inlineStr">
        <is>
          <t>Excess ITC Claimed (3B - 2A)</t>
        </is>
      </c>
      <c r="B22" s="7" t="n">
        <v>850</v>
      </c>
      <c r="C22" s="8" t="inlineStr">
        <is>
          <t>⚠ POTENTIAL INELIGIBLE ITC</t>
        </is>
      </c>
    </row>
    <row r="23">
      <c r="A23" s="3" t="inlineStr">
        <is>
          <t>Mismatch as % of 2A ITC</t>
        </is>
      </c>
      <c r="B23" s="4" t="n">
        <v>29.3</v>
      </c>
      <c r="C23" s="10" t="inlineStr">
        <is>
          <t>RBI/GST circular benchmark: &lt;5%</t>
        </is>
      </c>
    </row>
    <row r="24">
      <c r="A24" s="3" t="inlineStr">
        <is>
          <t>Total Output Tax</t>
        </is>
      </c>
      <c r="B24" s="4" t="n">
        <v>4620</v>
      </c>
      <c r="C24" s="10" t="inlineStr"/>
    </row>
    <row r="25">
      <c r="A25" s="3" t="inlineStr">
        <is>
          <t>Net GST Paid to Government</t>
        </is>
      </c>
      <c r="B25" s="4" t="n">
        <v>870</v>
      </c>
      <c r="C25" s="10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2026-03-08T06:34:38Z</dcterms:created>
  <dcterms:modified xmlns:dcterms="http://purl.org/dc/terms/" xmlns:xsi="http://www.w3.org/2001/XMLSchema-instance" xsi:type="dcterms:W3CDTF">2026-03-08T06:34:38Z</dcterms:modified>
</cp:coreProperties>
</file>