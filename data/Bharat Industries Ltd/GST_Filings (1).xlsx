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Summary" sheetId="1" state="visible" r:id="rId1"/>
    <sheet xmlns:r="http://schemas.openxmlformats.org/officeDocument/2006/relationships" name="GSTR-1 Outward Supp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sz val="10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3" fontId="7" fillId="4" borderId="1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20" customWidth="1" min="5" max="5"/>
    <col width="15" customWidth="1" min="6" max="6"/>
    <col width="15" customWidth="1" min="7" max="7"/>
    <col width="15" customWidth="1" min="8" max="8"/>
    <col width="12" customWidth="1" min="9" max="9"/>
    <col width="16" customWidth="1" min="10" max="10"/>
    <col width="20" customWidth="1" min="11" max="11"/>
    <col width="20" customWidth="1" min="12" max="12"/>
    <col width="12" customWidth="1" min="13" max="13"/>
    <col width="13" customWidth="1" min="14" max="14"/>
  </cols>
  <sheetData>
    <row r="1">
      <c r="A1" s="1" t="inlineStr">
        <is>
          <t>BHARAT INDUSTRIES LIMITED</t>
        </is>
      </c>
    </row>
    <row r="2">
      <c r="A2" s="2" t="inlineStr">
        <is>
          <t>GST Filing Summary — GSTR-3B | FY 2024-25 | GSTIN: 27AABCB1234F1ZP</t>
        </is>
      </c>
    </row>
    <row r="4" ht="35" customHeight="1">
      <c r="A4" s="3" t="inlineStr">
        <is>
          <t>Period</t>
        </is>
      </c>
      <c r="B4" s="3" t="inlineStr">
        <is>
          <t>Filing Date</t>
        </is>
      </c>
      <c r="C4" s="3" t="inlineStr">
        <is>
          <t>Due Date</t>
        </is>
      </c>
      <c r="D4" s="3" t="inlineStr">
        <is>
          <t>Status</t>
        </is>
      </c>
      <c r="E4" s="3" t="inlineStr">
        <is>
          <t>Taxable Supply (₹)</t>
        </is>
      </c>
      <c r="F4" s="3" t="inlineStr">
        <is>
          <t>IGST (₹)</t>
        </is>
      </c>
      <c r="G4" s="3" t="inlineStr">
        <is>
          <t>CGST (₹)</t>
        </is>
      </c>
      <c r="H4" s="3" t="inlineStr">
        <is>
          <t>SGST (₹)</t>
        </is>
      </c>
      <c r="I4" s="3" t="inlineStr">
        <is>
          <t>Cess (₹)</t>
        </is>
      </c>
      <c r="J4" s="3" t="inlineStr">
        <is>
          <t>Total Tax (₹)</t>
        </is>
      </c>
      <c r="K4" s="3" t="inlineStr">
        <is>
          <t>Input Tax Credit (₹)</t>
        </is>
      </c>
      <c r="L4" s="3" t="inlineStr">
        <is>
          <t>Net Tax Payable (₹)</t>
        </is>
      </c>
      <c r="M4" s="3" t="inlineStr">
        <is>
          <t>Late Fee (₹)</t>
        </is>
      </c>
      <c r="N4" s="3" t="inlineStr">
        <is>
          <t>Interest (₹)</t>
        </is>
      </c>
    </row>
    <row r="5">
      <c r="A5" s="4" t="inlineStr">
        <is>
          <t>Apr-24</t>
        </is>
      </c>
      <c r="B5" s="4" t="inlineStr">
        <is>
          <t>15-May-24</t>
        </is>
      </c>
      <c r="C5" s="4" t="inlineStr">
        <is>
          <t>20-May-24</t>
        </is>
      </c>
      <c r="D5" s="5" t="inlineStr">
        <is>
          <t>Filed</t>
        </is>
      </c>
      <c r="E5" s="6" t="n">
        <v>4820000</v>
      </c>
      <c r="F5" s="6" t="n">
        <v>318000</v>
      </c>
      <c r="G5" s="6" t="n">
        <v>159000</v>
      </c>
      <c r="H5" s="6" t="n">
        <v>159000</v>
      </c>
      <c r="I5" s="6" t="n">
        <v>0</v>
      </c>
      <c r="J5" s="7">
        <f>F5+G5+H5+I5</f>
        <v/>
      </c>
      <c r="K5" s="6" t="n">
        <v>195000</v>
      </c>
      <c r="L5" s="7">
        <f>J5-K5</f>
        <v/>
      </c>
      <c r="M5" s="6" t="n">
        <v>0</v>
      </c>
      <c r="N5" s="6" t="n">
        <v>0</v>
      </c>
    </row>
    <row r="6">
      <c r="A6" s="8" t="inlineStr">
        <is>
          <t>May-24</t>
        </is>
      </c>
      <c r="B6" s="8" t="inlineStr">
        <is>
          <t>19-Jun-24</t>
        </is>
      </c>
      <c r="C6" s="8" t="inlineStr">
        <is>
          <t>20-Jun-24</t>
        </is>
      </c>
      <c r="D6" s="9" t="inlineStr">
        <is>
          <t>Filed</t>
        </is>
      </c>
      <c r="E6" s="10" t="n">
        <v>5130000</v>
      </c>
      <c r="F6" s="10" t="n">
        <v>338580</v>
      </c>
      <c r="G6" s="10" t="n">
        <v>169290</v>
      </c>
      <c r="H6" s="10" t="n">
        <v>169290</v>
      </c>
      <c r="I6" s="10" t="n">
        <v>0</v>
      </c>
      <c r="J6" s="11">
        <f>F6+G6+H6+I6</f>
        <v/>
      </c>
      <c r="K6" s="10" t="n">
        <v>210000</v>
      </c>
      <c r="L6" s="11">
        <f>J6-K6</f>
        <v/>
      </c>
      <c r="M6" s="10" t="n">
        <v>0</v>
      </c>
      <c r="N6" s="10" t="n">
        <v>0</v>
      </c>
    </row>
    <row r="7">
      <c r="A7" s="4" t="inlineStr">
        <is>
          <t>Jun-24</t>
        </is>
      </c>
      <c r="B7" s="4" t="inlineStr">
        <is>
          <t>20-Jul-24</t>
        </is>
      </c>
      <c r="C7" s="4" t="inlineStr">
        <is>
          <t>20-Jul-24</t>
        </is>
      </c>
      <c r="D7" s="5" t="inlineStr">
        <is>
          <t>Filed</t>
        </is>
      </c>
      <c r="E7" s="6" t="n">
        <v>4975000</v>
      </c>
      <c r="F7" s="6" t="n">
        <v>328350</v>
      </c>
      <c r="G7" s="6" t="n">
        <v>164175</v>
      </c>
      <c r="H7" s="6" t="n">
        <v>164175</v>
      </c>
      <c r="I7" s="6" t="n">
        <v>0</v>
      </c>
      <c r="J7" s="7">
        <f>F7+G7+H7+I7</f>
        <v/>
      </c>
      <c r="K7" s="6" t="n">
        <v>198000</v>
      </c>
      <c r="L7" s="7">
        <f>J7-K7</f>
        <v/>
      </c>
      <c r="M7" s="6" t="n">
        <v>0</v>
      </c>
      <c r="N7" s="6" t="n">
        <v>0</v>
      </c>
    </row>
    <row r="8">
      <c r="A8" s="8" t="inlineStr">
        <is>
          <t>Jul-24</t>
        </is>
      </c>
      <c r="B8" s="8" t="inlineStr">
        <is>
          <t>22-Aug-24</t>
        </is>
      </c>
      <c r="C8" s="8" t="inlineStr">
        <is>
          <t>20-Aug-24</t>
        </is>
      </c>
      <c r="D8" s="12" t="inlineStr">
        <is>
          <t>Filed (Late)</t>
        </is>
      </c>
      <c r="E8" s="10" t="n">
        <v>5280000</v>
      </c>
      <c r="F8" s="10" t="n">
        <v>348480</v>
      </c>
      <c r="G8" s="10" t="n">
        <v>174240</v>
      </c>
      <c r="H8" s="10" t="n">
        <v>174240</v>
      </c>
      <c r="I8" s="10" t="n">
        <v>0</v>
      </c>
      <c r="J8" s="11">
        <f>F8+G8+H8+I8</f>
        <v/>
      </c>
      <c r="K8" s="10" t="n">
        <v>220000</v>
      </c>
      <c r="L8" s="11">
        <f>J8-K8</f>
        <v/>
      </c>
      <c r="M8" s="10" t="n">
        <v>50</v>
      </c>
      <c r="N8" s="10" t="n">
        <v>312</v>
      </c>
    </row>
    <row r="9">
      <c r="A9" s="4" t="inlineStr">
        <is>
          <t>Aug-24</t>
        </is>
      </c>
      <c r="B9" s="4" t="inlineStr">
        <is>
          <t>20-Sep-24</t>
        </is>
      </c>
      <c r="C9" s="4" t="inlineStr">
        <is>
          <t>20-Sep-24</t>
        </is>
      </c>
      <c r="D9" s="5" t="inlineStr">
        <is>
          <t>Filed</t>
        </is>
      </c>
      <c r="E9" s="6" t="n">
        <v>5560000</v>
      </c>
      <c r="F9" s="6" t="n">
        <v>366960</v>
      </c>
      <c r="G9" s="6" t="n">
        <v>183480</v>
      </c>
      <c r="H9" s="6" t="n">
        <v>183480</v>
      </c>
      <c r="I9" s="6" t="n">
        <v>0</v>
      </c>
      <c r="J9" s="7">
        <f>F9+G9+H9+I9</f>
        <v/>
      </c>
      <c r="K9" s="6" t="n">
        <v>235000</v>
      </c>
      <c r="L9" s="7">
        <f>J9-K9</f>
        <v/>
      </c>
      <c r="M9" s="6" t="n">
        <v>0</v>
      </c>
      <c r="N9" s="6" t="n">
        <v>0</v>
      </c>
    </row>
    <row r="10">
      <c r="A10" s="8" t="inlineStr">
        <is>
          <t>Sep-24</t>
        </is>
      </c>
      <c r="B10" s="8" t="inlineStr">
        <is>
          <t>21-Oct-24</t>
        </is>
      </c>
      <c r="C10" s="8" t="inlineStr">
        <is>
          <t>20-Oct-24</t>
        </is>
      </c>
      <c r="D10" s="12" t="inlineStr">
        <is>
          <t>Filed (Late)</t>
        </is>
      </c>
      <c r="E10" s="10" t="n">
        <v>5840000</v>
      </c>
      <c r="F10" s="10" t="n">
        <v>385440</v>
      </c>
      <c r="G10" s="10" t="n">
        <v>192720</v>
      </c>
      <c r="H10" s="10" t="n">
        <v>192720</v>
      </c>
      <c r="I10" s="10" t="n">
        <v>0</v>
      </c>
      <c r="J10" s="11">
        <f>F10+G10+H10+I10</f>
        <v/>
      </c>
      <c r="K10" s="10" t="n">
        <v>248000</v>
      </c>
      <c r="L10" s="11">
        <f>J10-K10</f>
        <v/>
      </c>
      <c r="M10" s="10" t="n">
        <v>50</v>
      </c>
      <c r="N10" s="10" t="n">
        <v>275</v>
      </c>
    </row>
    <row r="11">
      <c r="A11" s="4" t="inlineStr">
        <is>
          <t>Oct-24</t>
        </is>
      </c>
      <c r="B11" s="4" t="inlineStr">
        <is>
          <t>19-Nov-24</t>
        </is>
      </c>
      <c r="C11" s="4" t="inlineStr">
        <is>
          <t>20-Nov-24</t>
        </is>
      </c>
      <c r="D11" s="5" t="inlineStr">
        <is>
          <t>Filed</t>
        </is>
      </c>
      <c r="E11" s="6" t="n">
        <v>6120000</v>
      </c>
      <c r="F11" s="6" t="n">
        <v>403920</v>
      </c>
      <c r="G11" s="6" t="n">
        <v>201960</v>
      </c>
      <c r="H11" s="6" t="n">
        <v>201960</v>
      </c>
      <c r="I11" s="6" t="n">
        <v>0</v>
      </c>
      <c r="J11" s="7">
        <f>F11+G11+H11+I11</f>
        <v/>
      </c>
      <c r="K11" s="6" t="n">
        <v>260000</v>
      </c>
      <c r="L11" s="7">
        <f>J11-K11</f>
        <v/>
      </c>
      <c r="M11" s="6" t="n">
        <v>0</v>
      </c>
      <c r="N11" s="6" t="n">
        <v>0</v>
      </c>
    </row>
    <row r="12">
      <c r="A12" s="8" t="inlineStr">
        <is>
          <t>Nov-24</t>
        </is>
      </c>
      <c r="B12" s="8" t="inlineStr">
        <is>
          <t>20-Dec-24</t>
        </is>
      </c>
      <c r="C12" s="8" t="inlineStr">
        <is>
          <t>20-Dec-24</t>
        </is>
      </c>
      <c r="D12" s="9" t="inlineStr">
        <is>
          <t>Filed</t>
        </is>
      </c>
      <c r="E12" s="10" t="n">
        <v>5890000</v>
      </c>
      <c r="F12" s="10" t="n">
        <v>388740</v>
      </c>
      <c r="G12" s="10" t="n">
        <v>194370</v>
      </c>
      <c r="H12" s="10" t="n">
        <v>194370</v>
      </c>
      <c r="I12" s="10" t="n">
        <v>0</v>
      </c>
      <c r="J12" s="11">
        <f>F12+G12+H12+I12</f>
        <v/>
      </c>
      <c r="K12" s="10" t="n">
        <v>251000</v>
      </c>
      <c r="L12" s="11">
        <f>J12-K12</f>
        <v/>
      </c>
      <c r="M12" s="10" t="n">
        <v>0</v>
      </c>
      <c r="N12" s="10" t="n">
        <v>0</v>
      </c>
    </row>
    <row r="13">
      <c r="A13" s="4" t="inlineStr">
        <is>
          <t>Dec-24</t>
        </is>
      </c>
      <c r="B13" s="4" t="inlineStr">
        <is>
          <t>20-Jan-25</t>
        </is>
      </c>
      <c r="C13" s="4" t="inlineStr">
        <is>
          <t>20-Jan-25</t>
        </is>
      </c>
      <c r="D13" s="5" t="inlineStr">
        <is>
          <t>Filed</t>
        </is>
      </c>
      <c r="E13" s="6" t="n">
        <v>6350000</v>
      </c>
      <c r="F13" s="6" t="n">
        <v>419100</v>
      </c>
      <c r="G13" s="6" t="n">
        <v>209550</v>
      </c>
      <c r="H13" s="6" t="n">
        <v>209550</v>
      </c>
      <c r="I13" s="6" t="n">
        <v>0</v>
      </c>
      <c r="J13" s="7">
        <f>F13+G13+H13+I13</f>
        <v/>
      </c>
      <c r="K13" s="6" t="n">
        <v>272000</v>
      </c>
      <c r="L13" s="7">
        <f>J13-K13</f>
        <v/>
      </c>
      <c r="M13" s="6" t="n">
        <v>0</v>
      </c>
      <c r="N13" s="6" t="n">
        <v>0</v>
      </c>
    </row>
    <row r="14">
      <c r="A14" s="8" t="inlineStr">
        <is>
          <t>Jan-25</t>
        </is>
      </c>
      <c r="B14" s="8" t="inlineStr">
        <is>
          <t>20-Feb-25</t>
        </is>
      </c>
      <c r="C14" s="8" t="inlineStr">
        <is>
          <t>20-Feb-25</t>
        </is>
      </c>
      <c r="D14" s="9" t="inlineStr">
        <is>
          <t>Filed</t>
        </is>
      </c>
      <c r="E14" s="10" t="n">
        <v>6580000</v>
      </c>
      <c r="F14" s="10" t="n">
        <v>434280</v>
      </c>
      <c r="G14" s="10" t="n">
        <v>217140</v>
      </c>
      <c r="H14" s="10" t="n">
        <v>217140</v>
      </c>
      <c r="I14" s="10" t="n">
        <v>0</v>
      </c>
      <c r="J14" s="11">
        <f>F14+G14+H14+I14</f>
        <v/>
      </c>
      <c r="K14" s="10" t="n">
        <v>283000</v>
      </c>
      <c r="L14" s="11">
        <f>J14-K14</f>
        <v/>
      </c>
      <c r="M14" s="10" t="n">
        <v>0</v>
      </c>
      <c r="N14" s="10" t="n">
        <v>0</v>
      </c>
    </row>
    <row r="15">
      <c r="A15" s="4" t="inlineStr">
        <is>
          <t>Feb-25</t>
        </is>
      </c>
      <c r="B15" s="4" t="inlineStr">
        <is>
          <t>20-Mar-25</t>
        </is>
      </c>
      <c r="C15" s="4" t="inlineStr">
        <is>
          <t>20-Mar-25</t>
        </is>
      </c>
      <c r="D15" s="5" t="inlineStr">
        <is>
          <t>Filed</t>
        </is>
      </c>
      <c r="E15" s="6" t="n">
        <v>6120000</v>
      </c>
      <c r="F15" s="6" t="n">
        <v>403920</v>
      </c>
      <c r="G15" s="6" t="n">
        <v>201960</v>
      </c>
      <c r="H15" s="6" t="n">
        <v>201960</v>
      </c>
      <c r="I15" s="6" t="n">
        <v>0</v>
      </c>
      <c r="J15" s="7">
        <f>F15+G15+H15+I15</f>
        <v/>
      </c>
      <c r="K15" s="6" t="n">
        <v>260000</v>
      </c>
      <c r="L15" s="7">
        <f>J15-K15</f>
        <v/>
      </c>
      <c r="M15" s="6" t="n">
        <v>0</v>
      </c>
      <c r="N15" s="6" t="n">
        <v>0</v>
      </c>
    </row>
    <row r="16">
      <c r="A16" s="8" t="inlineStr">
        <is>
          <t>Mar-25</t>
        </is>
      </c>
      <c r="B16" s="8" t="inlineStr">
        <is>
          <t>22-Apr-25</t>
        </is>
      </c>
      <c r="C16" s="8" t="inlineStr">
        <is>
          <t>20-Apr-25</t>
        </is>
      </c>
      <c r="D16" s="12" t="inlineStr">
        <is>
          <t>Filed (Late)</t>
        </is>
      </c>
      <c r="E16" s="10" t="n">
        <v>6890000</v>
      </c>
      <c r="F16" s="10" t="n">
        <v>454740</v>
      </c>
      <c r="G16" s="10" t="n">
        <v>227370</v>
      </c>
      <c r="H16" s="10" t="n">
        <v>227370</v>
      </c>
      <c r="I16" s="10" t="n">
        <v>0</v>
      </c>
      <c r="J16" s="11">
        <f>F16+G16+H16+I16</f>
        <v/>
      </c>
      <c r="K16" s="10" t="n">
        <v>293000</v>
      </c>
      <c r="L16" s="11">
        <f>J16-K16</f>
        <v/>
      </c>
      <c r="M16" s="10" t="n">
        <v>50</v>
      </c>
      <c r="N16" s="10" t="n">
        <v>428</v>
      </c>
    </row>
    <row r="17">
      <c r="A17" s="13" t="inlineStr">
        <is>
          <t>TOTAL</t>
        </is>
      </c>
      <c r="B17" s="14" t="n"/>
      <c r="C17" s="14" t="n"/>
      <c r="D17" s="14" t="n"/>
      <c r="E17" s="15">
        <f>SUM(E5:E16)</f>
        <v/>
      </c>
      <c r="F17" s="15">
        <f>SUM(F5:F16)</f>
        <v/>
      </c>
      <c r="G17" s="15">
        <f>SUM(G5:G16)</f>
        <v/>
      </c>
      <c r="H17" s="15">
        <f>SUM(H5:H16)</f>
        <v/>
      </c>
      <c r="I17" s="15">
        <f>SUM(I5:I16)</f>
        <v/>
      </c>
      <c r="J17" s="15">
        <f>SUM(J5:J16)</f>
        <v/>
      </c>
      <c r="K17" s="15">
        <f>SUM(K5:K16)</f>
        <v/>
      </c>
      <c r="L17" s="15">
        <f>SUM(L5:L16)</f>
        <v/>
      </c>
      <c r="M17" s="15">
        <f>SUM(M5:M16)</f>
        <v/>
      </c>
      <c r="N17" s="15">
        <f>SUM(N5:N16)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30" customWidth="1" min="3" max="3"/>
    <col width="22" customWidth="1" min="4" max="4"/>
    <col width="14" customWidth="1" min="5" max="5"/>
    <col width="8" customWidth="1" min="6" max="6"/>
    <col width="20" customWidth="1" min="7" max="7"/>
    <col width="10" customWidth="1" min="8" max="8"/>
    <col width="18" customWidth="1" min="9" max="9"/>
    <col width="20" customWidth="1" min="10" max="10"/>
  </cols>
  <sheetData>
    <row r="1">
      <c r="A1" s="16" t="inlineStr">
        <is>
          <t>BHARAT INDUSTRIES LIMITED — GSTR-1 Outward Supply Register FY 2024-25</t>
        </is>
      </c>
    </row>
    <row r="3">
      <c r="A3" s="3" t="inlineStr">
        <is>
          <t>Invoice No</t>
        </is>
      </c>
      <c r="B3" s="3" t="inlineStr">
        <is>
          <t>Invoice Date</t>
        </is>
      </c>
      <c r="C3" s="3" t="inlineStr">
        <is>
          <t>Customer Name</t>
        </is>
      </c>
      <c r="D3" s="3" t="inlineStr">
        <is>
          <t>GSTIN</t>
        </is>
      </c>
      <c r="E3" s="3" t="inlineStr">
        <is>
          <t>State</t>
        </is>
      </c>
      <c r="F3" s="3" t="inlineStr">
        <is>
          <t>Type</t>
        </is>
      </c>
      <c r="G3" s="3" t="inlineStr">
        <is>
          <t>Taxable Value (₹)</t>
        </is>
      </c>
      <c r="H3" s="3" t="inlineStr">
        <is>
          <t>GST Rate</t>
        </is>
      </c>
      <c r="I3" s="3" t="inlineStr">
        <is>
          <t>GST Amount (₹)</t>
        </is>
      </c>
      <c r="J3" s="3" t="inlineStr">
        <is>
          <t>Invoice Total (₹)</t>
        </is>
      </c>
    </row>
    <row r="4">
      <c r="A4" s="17" t="inlineStr">
        <is>
          <t>BIL/2024/1001</t>
        </is>
      </c>
      <c r="B4" s="8" t="inlineStr">
        <is>
          <t>05-Apr-24</t>
        </is>
      </c>
      <c r="C4" s="17" t="inlineStr">
        <is>
          <t>Tata Motors Ltd</t>
        </is>
      </c>
      <c r="D4" s="17" t="inlineStr">
        <is>
          <t>27AAACT2727Q1ZX</t>
        </is>
      </c>
      <c r="E4" s="8" t="inlineStr">
        <is>
          <t>Maharashtra</t>
        </is>
      </c>
      <c r="F4" s="8" t="inlineStr">
        <is>
          <t>B2B</t>
        </is>
      </c>
      <c r="G4" s="10" t="n">
        <v>850000</v>
      </c>
      <c r="H4" s="8" t="inlineStr">
        <is>
          <t>18%</t>
        </is>
      </c>
      <c r="I4" s="10" t="n">
        <v>153000</v>
      </c>
      <c r="J4" s="10" t="n">
        <v>1003000</v>
      </c>
    </row>
    <row r="5">
      <c r="A5" s="18" t="inlineStr">
        <is>
          <t>BIL/2024/1002</t>
        </is>
      </c>
      <c r="B5" s="4" t="inlineStr">
        <is>
          <t>08-Apr-24</t>
        </is>
      </c>
      <c r="C5" s="18" t="inlineStr">
        <is>
          <t>Maruti Suzuki India</t>
        </is>
      </c>
      <c r="D5" s="18" t="inlineStr">
        <is>
          <t>07AAACM3025F1ZX</t>
        </is>
      </c>
      <c r="E5" s="4" t="inlineStr">
        <is>
          <t>Delhi</t>
        </is>
      </c>
      <c r="F5" s="4" t="inlineStr">
        <is>
          <t>B2B</t>
        </is>
      </c>
      <c r="G5" s="6" t="n">
        <v>620000</v>
      </c>
      <c r="H5" s="4" t="inlineStr">
        <is>
          <t>18%</t>
        </is>
      </c>
      <c r="I5" s="6" t="n">
        <v>111600</v>
      </c>
      <c r="J5" s="6" t="n">
        <v>731600</v>
      </c>
    </row>
    <row r="6">
      <c r="A6" s="17" t="inlineStr">
        <is>
          <t>BIL/2024/1003</t>
        </is>
      </c>
      <c r="B6" s="8" t="inlineStr">
        <is>
          <t>12-Apr-24</t>
        </is>
      </c>
      <c r="C6" s="17" t="inlineStr">
        <is>
          <t>Bajaj Auto Ltd</t>
        </is>
      </c>
      <c r="D6" s="17" t="inlineStr">
        <is>
          <t>27AAACB4849F1ZS</t>
        </is>
      </c>
      <c r="E6" s="8" t="inlineStr">
        <is>
          <t>Maharashtra</t>
        </is>
      </c>
      <c r="F6" s="8" t="inlineStr">
        <is>
          <t>B2B</t>
        </is>
      </c>
      <c r="G6" s="10" t="n">
        <v>430000</v>
      </c>
      <c r="H6" s="8" t="inlineStr">
        <is>
          <t>12%</t>
        </is>
      </c>
      <c r="I6" s="10" t="n">
        <v>51600</v>
      </c>
      <c r="J6" s="10" t="n">
        <v>481600</v>
      </c>
    </row>
    <row r="7">
      <c r="A7" s="18" t="inlineStr">
        <is>
          <t>BIL/2024/1004</t>
        </is>
      </c>
      <c r="B7" s="4" t="inlineStr">
        <is>
          <t>18-Apr-24</t>
        </is>
      </c>
      <c r="C7" s="18" t="inlineStr">
        <is>
          <t>Mahindra &amp; Mahindra</t>
        </is>
      </c>
      <c r="D7" s="18" t="inlineStr">
        <is>
          <t>27AABCM6602P1ZL</t>
        </is>
      </c>
      <c r="E7" s="4" t="inlineStr">
        <is>
          <t>Maharashtra</t>
        </is>
      </c>
      <c r="F7" s="4" t="inlineStr">
        <is>
          <t>B2B</t>
        </is>
      </c>
      <c r="G7" s="6" t="n">
        <v>760000</v>
      </c>
      <c r="H7" s="4" t="inlineStr">
        <is>
          <t>18%</t>
        </is>
      </c>
      <c r="I7" s="6" t="n">
        <v>136800</v>
      </c>
      <c r="J7" s="6" t="n">
        <v>896800</v>
      </c>
    </row>
    <row r="8">
      <c r="A8" s="17" t="inlineStr">
        <is>
          <t>BIL/2024/1005</t>
        </is>
      </c>
      <c r="B8" s="8" t="inlineStr">
        <is>
          <t>25-Apr-24</t>
        </is>
      </c>
      <c r="C8" s="17" t="inlineStr">
        <is>
          <t>Hero MotoCorp</t>
        </is>
      </c>
      <c r="D8" s="17" t="inlineStr">
        <is>
          <t>07AAACH1287N1ZH</t>
        </is>
      </c>
      <c r="E8" s="8" t="inlineStr">
        <is>
          <t>Delhi</t>
        </is>
      </c>
      <c r="F8" s="8" t="inlineStr">
        <is>
          <t>B2B</t>
        </is>
      </c>
      <c r="G8" s="10" t="n">
        <v>540000</v>
      </c>
      <c r="H8" s="8" t="inlineStr">
        <is>
          <t>18%</t>
        </is>
      </c>
      <c r="I8" s="10" t="n">
        <v>97200</v>
      </c>
      <c r="J8" s="10" t="n">
        <v>637200</v>
      </c>
    </row>
    <row r="9">
      <c r="A9" s="18" t="inlineStr">
        <is>
          <t>BIL/2024/1006</t>
        </is>
      </c>
      <c r="B9" s="4" t="inlineStr">
        <is>
          <t>02-May-24</t>
        </is>
      </c>
      <c r="C9" s="18" t="inlineStr">
        <is>
          <t>TVS Motor Company</t>
        </is>
      </c>
      <c r="D9" s="18" t="inlineStr">
        <is>
          <t>33AAACT3462H1ZF</t>
        </is>
      </c>
      <c r="E9" s="4" t="inlineStr">
        <is>
          <t>Tamil Nadu</t>
        </is>
      </c>
      <c r="F9" s="4" t="inlineStr">
        <is>
          <t>B2B</t>
        </is>
      </c>
      <c r="G9" s="6" t="n">
        <v>390000</v>
      </c>
      <c r="H9" s="4" t="inlineStr">
        <is>
          <t>12%</t>
        </is>
      </c>
      <c r="I9" s="6" t="n">
        <v>46800</v>
      </c>
      <c r="J9" s="6" t="n">
        <v>436800</v>
      </c>
    </row>
    <row r="10">
      <c r="A10" s="17" t="inlineStr">
        <is>
          <t>BIL/2024/1007</t>
        </is>
      </c>
      <c r="B10" s="8" t="inlineStr">
        <is>
          <t>10-May-24</t>
        </is>
      </c>
      <c r="C10" s="17" t="inlineStr">
        <is>
          <t>Ashok Leyland</t>
        </is>
      </c>
      <c r="D10" s="17" t="inlineStr">
        <is>
          <t>33AAACL0267F1ZB</t>
        </is>
      </c>
      <c r="E10" s="8" t="inlineStr">
        <is>
          <t>Tamil Nadu</t>
        </is>
      </c>
      <c r="F10" s="8" t="inlineStr">
        <is>
          <t>B2B</t>
        </is>
      </c>
      <c r="G10" s="10" t="n">
        <v>920000</v>
      </c>
      <c r="H10" s="8" t="inlineStr">
        <is>
          <t>18%</t>
        </is>
      </c>
      <c r="I10" s="10" t="n">
        <v>165600</v>
      </c>
      <c r="J10" s="10" t="n">
        <v>1085600</v>
      </c>
    </row>
    <row r="11">
      <c r="A11" s="18" t="inlineStr">
        <is>
          <t>BIL/2024/1008</t>
        </is>
      </c>
      <c r="B11" s="4" t="inlineStr">
        <is>
          <t>15-May-24</t>
        </is>
      </c>
      <c r="C11" s="18" t="inlineStr">
        <is>
          <t>Eicher Motors</t>
        </is>
      </c>
      <c r="D11" s="18" t="inlineStr">
        <is>
          <t>07AAACE2178A1Z5</t>
        </is>
      </c>
      <c r="E11" s="4" t="inlineStr">
        <is>
          <t>Delhi</t>
        </is>
      </c>
      <c r="F11" s="4" t="inlineStr">
        <is>
          <t>B2B</t>
        </is>
      </c>
      <c r="G11" s="6" t="n">
        <v>670000</v>
      </c>
      <c r="H11" s="4" t="inlineStr">
        <is>
          <t>18%</t>
        </is>
      </c>
      <c r="I11" s="6" t="n">
        <v>120600</v>
      </c>
      <c r="J11" s="6" t="n">
        <v>790600</v>
      </c>
    </row>
    <row r="12">
      <c r="A12" s="17" t="inlineStr">
        <is>
          <t>BIL/2024/1009</t>
        </is>
      </c>
      <c r="B12" s="8" t="inlineStr">
        <is>
          <t>20-May-24</t>
        </is>
      </c>
      <c r="C12" s="17" t="inlineStr">
        <is>
          <t>Force Motors</t>
        </is>
      </c>
      <c r="D12" s="17" t="inlineStr">
        <is>
          <t>27AAACF0272P1ZI</t>
        </is>
      </c>
      <c r="E12" s="8" t="inlineStr">
        <is>
          <t>Maharashtra</t>
        </is>
      </c>
      <c r="F12" s="8" t="inlineStr">
        <is>
          <t>B2B</t>
        </is>
      </c>
      <c r="G12" s="10" t="n">
        <v>480000</v>
      </c>
      <c r="H12" s="8" t="inlineStr">
        <is>
          <t>18%</t>
        </is>
      </c>
      <c r="I12" s="10" t="n">
        <v>86400</v>
      </c>
      <c r="J12" s="10" t="n">
        <v>566400</v>
      </c>
    </row>
    <row r="13">
      <c r="A13" s="18" t="inlineStr">
        <is>
          <t>BIL/2024/1010</t>
        </is>
      </c>
      <c r="B13" s="4" t="inlineStr">
        <is>
          <t>28-May-24</t>
        </is>
      </c>
      <c r="C13" s="18" t="inlineStr">
        <is>
          <t>Sundaram Clayton</t>
        </is>
      </c>
      <c r="D13" s="18" t="inlineStr">
        <is>
          <t>33AAACS5724F1Z4</t>
        </is>
      </c>
      <c r="E13" s="4" t="inlineStr">
        <is>
          <t>Tamil Nadu</t>
        </is>
      </c>
      <c r="F13" s="4" t="inlineStr">
        <is>
          <t>B2B</t>
        </is>
      </c>
      <c r="G13" s="6" t="n">
        <v>350000</v>
      </c>
      <c r="H13" s="4" t="inlineStr">
        <is>
          <t>12%</t>
        </is>
      </c>
      <c r="I13" s="6" t="n">
        <v>42000</v>
      </c>
      <c r="J13" s="6" t="n">
        <v>392000</v>
      </c>
    </row>
    <row r="14">
      <c r="A14" s="17" t="inlineStr">
        <is>
          <t>BIL/2024/1011</t>
        </is>
      </c>
      <c r="B14" s="8" t="inlineStr">
        <is>
          <t>05-Jun-24</t>
        </is>
      </c>
      <c r="C14" s="17" t="inlineStr">
        <is>
          <t>Bosch India</t>
        </is>
      </c>
      <c r="D14" s="17" t="inlineStr">
        <is>
          <t>29AAACB4849F1ZQ</t>
        </is>
      </c>
      <c r="E14" s="8" t="inlineStr">
        <is>
          <t>Karnataka</t>
        </is>
      </c>
      <c r="F14" s="8" t="inlineStr">
        <is>
          <t>B2B</t>
        </is>
      </c>
      <c r="G14" s="10" t="n">
        <v>810000</v>
      </c>
      <c r="H14" s="8" t="inlineStr">
        <is>
          <t>18%</t>
        </is>
      </c>
      <c r="I14" s="10" t="n">
        <v>145800</v>
      </c>
      <c r="J14" s="10" t="n">
        <v>955800</v>
      </c>
    </row>
    <row r="15">
      <c r="A15" s="18" t="inlineStr">
        <is>
          <t>BIL/2024/1012</t>
        </is>
      </c>
      <c r="B15" s="4" t="inlineStr">
        <is>
          <t>12-Jun-24</t>
        </is>
      </c>
      <c r="C15" s="18" t="inlineStr">
        <is>
          <t>Bharat Forge</t>
        </is>
      </c>
      <c r="D15" s="18" t="inlineStr">
        <is>
          <t>27AAACB2578C1ZY</t>
        </is>
      </c>
      <c r="E15" s="4" t="inlineStr">
        <is>
          <t>Maharashtra</t>
        </is>
      </c>
      <c r="F15" s="4" t="inlineStr">
        <is>
          <t>B2B</t>
        </is>
      </c>
      <c r="G15" s="6" t="n">
        <v>690000</v>
      </c>
      <c r="H15" s="4" t="inlineStr">
        <is>
          <t>18%</t>
        </is>
      </c>
      <c r="I15" s="6" t="n">
        <v>124200</v>
      </c>
      <c r="J15" s="6" t="n">
        <v>814200</v>
      </c>
    </row>
    <row r="16">
      <c r="A16" s="17" t="inlineStr">
        <is>
          <t>BIL/2024/1013</t>
        </is>
      </c>
      <c r="B16" s="8" t="inlineStr">
        <is>
          <t>20-Jun-24</t>
        </is>
      </c>
      <c r="C16" s="17" t="inlineStr">
        <is>
          <t>Amtek Auto</t>
        </is>
      </c>
      <c r="D16" s="17" t="inlineStr">
        <is>
          <t>06AAACA3421L1ZP</t>
        </is>
      </c>
      <c r="E16" s="8" t="inlineStr">
        <is>
          <t>Haryana</t>
        </is>
      </c>
      <c r="F16" s="8" t="inlineStr">
        <is>
          <t>B2B</t>
        </is>
      </c>
      <c r="G16" s="10" t="n">
        <v>520000</v>
      </c>
      <c r="H16" s="8" t="inlineStr">
        <is>
          <t>18%</t>
        </is>
      </c>
      <c r="I16" s="10" t="n">
        <v>93600</v>
      </c>
      <c r="J16" s="10" t="n">
        <v>613600</v>
      </c>
    </row>
    <row r="17">
      <c r="A17" s="18" t="inlineStr">
        <is>
          <t>BIL/2024/1014</t>
        </is>
      </c>
      <c r="B17" s="4" t="inlineStr">
        <is>
          <t>25-Jun-24</t>
        </is>
      </c>
      <c r="C17" s="18" t="inlineStr">
        <is>
          <t>Minda Industries</t>
        </is>
      </c>
      <c r="D17" s="18" t="inlineStr">
        <is>
          <t>06AAACM5678P1ZK</t>
        </is>
      </c>
      <c r="E17" s="4" t="inlineStr">
        <is>
          <t>Haryana</t>
        </is>
      </c>
      <c r="F17" s="4" t="inlineStr">
        <is>
          <t>B2B</t>
        </is>
      </c>
      <c r="G17" s="6" t="n">
        <v>440000</v>
      </c>
      <c r="H17" s="4" t="inlineStr">
        <is>
          <t>12%</t>
        </is>
      </c>
      <c r="I17" s="6" t="n">
        <v>52800</v>
      </c>
      <c r="J17" s="6" t="n">
        <v>492800</v>
      </c>
    </row>
    <row r="18">
      <c r="A18" s="17" t="inlineStr">
        <is>
          <t>BIL/2024/1015</t>
        </is>
      </c>
      <c r="B18" s="8" t="inlineStr">
        <is>
          <t>30-Jun-24</t>
        </is>
      </c>
      <c r="C18" s="17" t="inlineStr">
        <is>
          <t>Subros Ltd</t>
        </is>
      </c>
      <c r="D18" s="17" t="inlineStr">
        <is>
          <t>07AAACS9876G1ZR</t>
        </is>
      </c>
      <c r="E18" s="8" t="inlineStr">
        <is>
          <t>Delhi</t>
        </is>
      </c>
      <c r="F18" s="8" t="inlineStr">
        <is>
          <t>B2B</t>
        </is>
      </c>
      <c r="G18" s="10" t="n">
        <v>375000</v>
      </c>
      <c r="H18" s="8" t="inlineStr">
        <is>
          <t>18%</t>
        </is>
      </c>
      <c r="I18" s="10" t="n">
        <v>67500</v>
      </c>
      <c r="J18" s="10" t="n">
        <v>442500</v>
      </c>
    </row>
    <row r="19">
      <c r="A19" s="18" t="inlineStr">
        <is>
          <t>BIL/2024/1016</t>
        </is>
      </c>
      <c r="B19" s="4" t="inlineStr">
        <is>
          <t>08-Jul-24</t>
        </is>
      </c>
      <c r="C19" s="18" t="inlineStr">
        <is>
          <t>Motherson Sumi</t>
        </is>
      </c>
      <c r="D19" s="18" t="inlineStr">
        <is>
          <t>27AAACM2345H1ZN</t>
        </is>
      </c>
      <c r="E19" s="4" t="inlineStr">
        <is>
          <t>Maharashtra</t>
        </is>
      </c>
      <c r="F19" s="4" t="inlineStr">
        <is>
          <t>B2B</t>
        </is>
      </c>
      <c r="G19" s="6" t="n">
        <v>930000</v>
      </c>
      <c r="H19" s="4" t="inlineStr">
        <is>
          <t>18%</t>
        </is>
      </c>
      <c r="I19" s="6" t="n">
        <v>167400</v>
      </c>
      <c r="J19" s="6" t="n">
        <v>1097400</v>
      </c>
    </row>
    <row r="20">
      <c r="A20" s="17" t="inlineStr">
        <is>
          <t>BIL/2024/1017</t>
        </is>
      </c>
      <c r="B20" s="8" t="inlineStr">
        <is>
          <t>15-Jul-24</t>
        </is>
      </c>
      <c r="C20" s="17" t="inlineStr">
        <is>
          <t>Lumax Industries</t>
        </is>
      </c>
      <c r="D20" s="17" t="inlineStr">
        <is>
          <t>07AAACL0123F1ZM</t>
        </is>
      </c>
      <c r="E20" s="8" t="inlineStr">
        <is>
          <t>Delhi</t>
        </is>
      </c>
      <c r="F20" s="8" t="inlineStr">
        <is>
          <t>B2B</t>
        </is>
      </c>
      <c r="G20" s="10" t="n">
        <v>285000</v>
      </c>
      <c r="H20" s="8" t="inlineStr">
        <is>
          <t>12%</t>
        </is>
      </c>
      <c r="I20" s="10" t="n">
        <v>34200</v>
      </c>
      <c r="J20" s="10" t="n">
        <v>319200</v>
      </c>
    </row>
    <row r="21">
      <c r="A21" s="18" t="inlineStr">
        <is>
          <t>BIL/2024/1018</t>
        </is>
      </c>
      <c r="B21" s="4" t="inlineStr">
        <is>
          <t>22-Jul-24</t>
        </is>
      </c>
      <c r="C21" s="18" t="inlineStr">
        <is>
          <t>Endurance Technologies</t>
        </is>
      </c>
      <c r="D21" s="18" t="inlineStr">
        <is>
          <t>27AAACE4567J1ZP</t>
        </is>
      </c>
      <c r="E21" s="4" t="inlineStr">
        <is>
          <t>Maharashtra</t>
        </is>
      </c>
      <c r="F21" s="4" t="inlineStr">
        <is>
          <t>B2B</t>
        </is>
      </c>
      <c r="G21" s="6" t="n">
        <v>615000</v>
      </c>
      <c r="H21" s="4" t="inlineStr">
        <is>
          <t>18%</t>
        </is>
      </c>
      <c r="I21" s="6" t="n">
        <v>110700</v>
      </c>
      <c r="J21" s="6" t="n">
        <v>725700</v>
      </c>
    </row>
    <row r="22">
      <c r="A22" s="17" t="inlineStr">
        <is>
          <t>BIL/2024/1019</t>
        </is>
      </c>
      <c r="B22" s="8" t="inlineStr">
        <is>
          <t>30-Jul-24</t>
        </is>
      </c>
      <c r="C22" s="17" t="inlineStr">
        <is>
          <t>Shriram Pistons</t>
        </is>
      </c>
      <c r="D22" s="17" t="inlineStr">
        <is>
          <t>07AAACS2345K1ZQ</t>
        </is>
      </c>
      <c r="E22" s="8" t="inlineStr">
        <is>
          <t>Delhi</t>
        </is>
      </c>
      <c r="F22" s="8" t="inlineStr">
        <is>
          <t>B2B</t>
        </is>
      </c>
      <c r="G22" s="10" t="n">
        <v>498000</v>
      </c>
      <c r="H22" s="8" t="inlineStr">
        <is>
          <t>18%</t>
        </is>
      </c>
      <c r="I22" s="10" t="n">
        <v>89640</v>
      </c>
      <c r="J22" s="10" t="n">
        <v>587640</v>
      </c>
    </row>
    <row r="23">
      <c r="A23" s="18" t="inlineStr">
        <is>
          <t>BIL/2024/1020</t>
        </is>
      </c>
      <c r="B23" s="4" t="inlineStr">
        <is>
          <t>06-Aug-24</t>
        </is>
      </c>
      <c r="C23" s="18" t="inlineStr">
        <is>
          <t>Gabriel India</t>
        </is>
      </c>
      <c r="D23" s="18" t="inlineStr">
        <is>
          <t>07AAACG1234M1ZS</t>
        </is>
      </c>
      <c r="E23" s="4" t="inlineStr">
        <is>
          <t>Delhi</t>
        </is>
      </c>
      <c r="F23" s="4" t="inlineStr">
        <is>
          <t>B2B</t>
        </is>
      </c>
      <c r="G23" s="6" t="n">
        <v>362000</v>
      </c>
      <c r="H23" s="4" t="inlineStr">
        <is>
          <t>12%</t>
        </is>
      </c>
      <c r="I23" s="6" t="n">
        <v>43440</v>
      </c>
      <c r="J23" s="6" t="n">
        <v>405440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2026-03-03T14:34:07Z</dcterms:created>
  <dcterms:modified xmlns:dcterms="http://purl.org/dc/terms/" xmlns:xsi="http://www.w3.org/2001/XMLSchema-instance" xsi:type="dcterms:W3CDTF">2026-03-03T14:34:07Z</dcterms:modified>
</cp:coreProperties>
</file>