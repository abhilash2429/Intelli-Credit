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-6 Summary" sheetId="1" state="visible" r:id="rId1"/>
    <sheet xmlns:r="http://schemas.openxmlformats.org/officeDocument/2006/relationships" name="TD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b val="1"/>
      <color rgb="001F4E79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0" fontId="7" fillId="3" borderId="1" applyAlignment="1" pivotButton="0" quotePrefix="0" xfId="0">
      <alignment horizontal="right"/>
    </xf>
    <xf numFmtId="3" fontId="7" fillId="4" borderId="1" applyAlignment="1" pivotButton="0" quotePrefix="0" xfId="0">
      <alignment horizontal="right"/>
    </xf>
    <xf numFmtId="10" fontId="7" fillId="4" borderId="1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3" fontId="9" fillId="3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BHARAT INDUSTRIES LIMITED — ITR-6 Filing Summary</t>
        </is>
      </c>
    </row>
    <row r="2">
      <c r="A2" s="2" t="inlineStr">
        <is>
          <t>PAN: AABCB1234F  |  CIN: L27100MH2005PLC154231  |  AY 2024-25  |  Assessment Year Filing</t>
        </is>
      </c>
    </row>
    <row r="4" ht="30" customHeight="1">
      <c r="A4" s="3" t="inlineStr">
        <is>
          <t>Particulars</t>
        </is>
      </c>
      <c r="B4" s="3" t="inlineStr">
        <is>
          <t>AY 2022-23</t>
        </is>
      </c>
      <c r="C4" s="3" t="inlineStr">
        <is>
          <t>AY 2023-24</t>
        </is>
      </c>
      <c r="D4" s="3" t="inlineStr">
        <is>
          <t>AY 2024-25</t>
        </is>
      </c>
      <c r="E4" s="3" t="inlineStr">
        <is>
          <t>YoY Change (₹)</t>
        </is>
      </c>
      <c r="F4" s="3" t="inlineStr">
        <is>
          <t>YoY Change (%)</t>
        </is>
      </c>
    </row>
    <row r="5">
      <c r="A5" s="4" t="inlineStr">
        <is>
          <t>A. INCOME</t>
        </is>
      </c>
    </row>
    <row r="6">
      <c r="A6" s="5" t="inlineStr">
        <is>
          <t>Revenue from Operations (Net)</t>
        </is>
      </c>
      <c r="B6" s="6" t="n">
        <v>385000000</v>
      </c>
      <c r="C6" s="6" t="n">
        <v>442000000</v>
      </c>
      <c r="D6" s="6" t="n">
        <v>513500000</v>
      </c>
      <c r="E6" s="7" t="n">
        <v>71500000</v>
      </c>
      <c r="F6" s="8" t="n">
        <v>0.1617647058823529</v>
      </c>
    </row>
    <row r="7">
      <c r="A7" s="9" t="inlineStr">
        <is>
          <t>Other Income</t>
        </is>
      </c>
      <c r="B7" s="10" t="n">
        <v>12500000</v>
      </c>
      <c r="C7" s="10" t="n">
        <v>14800000</v>
      </c>
      <c r="D7" s="10" t="n">
        <v>17200000</v>
      </c>
      <c r="E7" s="11" t="n">
        <v>2400000</v>
      </c>
      <c r="F7" s="12" t="n">
        <v>0.1621621621621622</v>
      </c>
    </row>
    <row r="8">
      <c r="A8" s="13" t="inlineStr">
        <is>
          <t>Total Gross Receipts</t>
        </is>
      </c>
      <c r="B8" s="14" t="n">
        <v>397500000</v>
      </c>
      <c r="C8" s="14" t="n">
        <v>456800000</v>
      </c>
      <c r="D8" s="14" t="n">
        <v>530700000</v>
      </c>
      <c r="E8" s="15" t="n">
        <v>73900000</v>
      </c>
      <c r="F8" s="16" t="n">
        <v>0.1617775831873906</v>
      </c>
    </row>
    <row r="9">
      <c r="A9" s="4" t="inlineStr">
        <is>
          <t>B. DEDUCTIONS</t>
        </is>
      </c>
    </row>
    <row r="10">
      <c r="A10" s="5" t="inlineStr">
        <is>
          <t>Cost of Materials Consumed</t>
        </is>
      </c>
      <c r="B10" s="6" t="n">
        <v>221000000</v>
      </c>
      <c r="C10" s="6" t="n">
        <v>253000000</v>
      </c>
      <c r="D10" s="6" t="n">
        <v>294000000</v>
      </c>
      <c r="E10" s="7" t="n">
        <v>41000000</v>
      </c>
      <c r="F10" s="8" t="n">
        <v>0.1620553359683795</v>
      </c>
    </row>
    <row r="11">
      <c r="A11" s="9" t="inlineStr">
        <is>
          <t>Employee Benefit Expenses</t>
        </is>
      </c>
      <c r="B11" s="10" t="n">
        <v>48500000</v>
      </c>
      <c r="C11" s="10" t="n">
        <v>56200000</v>
      </c>
      <c r="D11" s="10" t="n">
        <v>64800000</v>
      </c>
      <c r="E11" s="11" t="n">
        <v>8600000</v>
      </c>
      <c r="F11" s="12" t="n">
        <v>0.1530249110320285</v>
      </c>
    </row>
    <row r="12">
      <c r="A12" s="5" t="inlineStr">
        <is>
          <t>Finance Costs</t>
        </is>
      </c>
      <c r="B12" s="6" t="n">
        <v>12000000</v>
      </c>
      <c r="C12" s="6" t="n">
        <v>10800000</v>
      </c>
      <c r="D12" s="6" t="n">
        <v>9500000</v>
      </c>
      <c r="E12" s="17" t="n">
        <v>-1300000</v>
      </c>
      <c r="F12" s="18" t="n">
        <v>-0.1203703703703704</v>
      </c>
    </row>
    <row r="13">
      <c r="A13" s="9" t="inlineStr">
        <is>
          <t>Depreciation &amp; Amortisation</t>
        </is>
      </c>
      <c r="B13" s="10" t="n">
        <v>21500000</v>
      </c>
      <c r="C13" s="10" t="n">
        <v>24000000</v>
      </c>
      <c r="D13" s="10" t="n">
        <v>27800000</v>
      </c>
      <c r="E13" s="11" t="n">
        <v>3800000</v>
      </c>
      <c r="F13" s="12" t="n">
        <v>0.1583333333333333</v>
      </c>
    </row>
    <row r="14">
      <c r="A14" s="5" t="inlineStr">
        <is>
          <t>Other Expenses</t>
        </is>
      </c>
      <c r="B14" s="6" t="n">
        <v>34500000</v>
      </c>
      <c r="C14" s="6" t="n">
        <v>39800000</v>
      </c>
      <c r="D14" s="6" t="n">
        <v>46200000</v>
      </c>
      <c r="E14" s="7" t="n">
        <v>6400000</v>
      </c>
      <c r="F14" s="8" t="n">
        <v>0.1608040201005025</v>
      </c>
    </row>
    <row r="15">
      <c r="A15" s="13" t="inlineStr">
        <is>
          <t>Total Expenditure</t>
        </is>
      </c>
      <c r="B15" s="14" t="n">
        <v>337500000</v>
      </c>
      <c r="C15" s="14" t="n">
        <v>383800000</v>
      </c>
      <c r="D15" s="14" t="n">
        <v>442300000</v>
      </c>
      <c r="E15" s="15" t="n">
        <v>58500000</v>
      </c>
      <c r="F15" s="16" t="n">
        <v>0.1524231370505472</v>
      </c>
    </row>
    <row r="16">
      <c r="A16" s="4" t="inlineStr">
        <is>
          <t>C. PROFIT COMPUTATION</t>
        </is>
      </c>
    </row>
    <row r="17">
      <c r="A17" s="9" t="inlineStr">
        <is>
          <t>Profit Before Tax (PBT)</t>
        </is>
      </c>
      <c r="B17" s="10" t="n">
        <v>60000000</v>
      </c>
      <c r="C17" s="10" t="n">
        <v>73000000</v>
      </c>
      <c r="D17" s="10" t="n">
        <v>88400000</v>
      </c>
      <c r="E17" s="11" t="n">
        <v>15400000</v>
      </c>
      <c r="F17" s="12" t="n">
        <v>0.210958904109589</v>
      </c>
    </row>
    <row r="18">
      <c r="A18" s="5" t="inlineStr">
        <is>
          <t>Add: Disallowances u/s 43B</t>
        </is>
      </c>
      <c r="B18" s="6" t="n">
        <v>1800000</v>
      </c>
      <c r="C18" s="6" t="n">
        <v>2200000</v>
      </c>
      <c r="D18" s="6" t="n">
        <v>2700000</v>
      </c>
      <c r="E18" s="7" t="n">
        <v>500000</v>
      </c>
      <c r="F18" s="8" t="n">
        <v>0.2272727272727273</v>
      </c>
    </row>
    <row r="19">
      <c r="A19" s="9" t="inlineStr">
        <is>
          <t>Less: Depreciation as per IT Act</t>
        </is>
      </c>
      <c r="B19" s="10" t="n">
        <v>23500000</v>
      </c>
      <c r="C19" s="10" t="n">
        <v>26000000</v>
      </c>
      <c r="D19" s="10" t="n">
        <v>30200000</v>
      </c>
      <c r="E19" s="11" t="n">
        <v>4200000</v>
      </c>
      <c r="F19" s="12" t="n">
        <v>0.1615384615384615</v>
      </c>
    </row>
    <row r="20">
      <c r="A20" s="13" t="inlineStr">
        <is>
          <t>Gross Total Income</t>
        </is>
      </c>
      <c r="B20" s="14" t="n">
        <v>38300000</v>
      </c>
      <c r="C20" s="14" t="n">
        <v>49200000</v>
      </c>
      <c r="D20" s="14" t="n">
        <v>60900000</v>
      </c>
      <c r="E20" s="15" t="n">
        <v>11700000</v>
      </c>
      <c r="F20" s="16" t="n">
        <v>0.2378048780487805</v>
      </c>
    </row>
    <row r="21">
      <c r="A21" s="9" t="inlineStr">
        <is>
          <t>Less: Deductions u/s 80IC</t>
        </is>
      </c>
      <c r="B21" s="10" t="n">
        <v>9500000</v>
      </c>
      <c r="C21" s="10" t="n">
        <v>11000000</v>
      </c>
      <c r="D21" s="10" t="n">
        <v>12500000</v>
      </c>
      <c r="E21" s="11" t="n">
        <v>1500000</v>
      </c>
      <c r="F21" s="12" t="n">
        <v>0.1363636363636364</v>
      </c>
    </row>
    <row r="22">
      <c r="A22" s="13" t="inlineStr">
        <is>
          <t>Total Income (Rounded)</t>
        </is>
      </c>
      <c r="B22" s="14" t="n">
        <v>28800000</v>
      </c>
      <c r="C22" s="14" t="n">
        <v>38200000</v>
      </c>
      <c r="D22" s="14" t="n">
        <v>48400000</v>
      </c>
      <c r="E22" s="15" t="n">
        <v>10200000</v>
      </c>
      <c r="F22" s="16" t="n">
        <v>0.2670157068062827</v>
      </c>
    </row>
    <row r="23">
      <c r="A23" s="4" t="inlineStr">
        <is>
          <t>D. TAX COMPUTATION</t>
        </is>
      </c>
    </row>
    <row r="24">
      <c r="A24" s="5" t="inlineStr">
        <is>
          <t>Tax at Normal Rates (22%)</t>
        </is>
      </c>
      <c r="B24" s="6" t="n">
        <v>6336000</v>
      </c>
      <c r="C24" s="6" t="n">
        <v>8404000</v>
      </c>
      <c r="D24" s="6" t="n">
        <v>10648000</v>
      </c>
      <c r="E24" s="7" t="n">
        <v>2244000</v>
      </c>
      <c r="F24" s="8" t="n">
        <v>0.2670157068062827</v>
      </c>
    </row>
    <row r="25">
      <c r="A25" s="9" t="inlineStr">
        <is>
          <t>Surcharge</t>
        </is>
      </c>
      <c r="B25" s="10" t="n">
        <v>633600</v>
      </c>
      <c r="C25" s="10" t="n">
        <v>840400</v>
      </c>
      <c r="D25" s="10" t="n">
        <v>1064800</v>
      </c>
      <c r="E25" s="11" t="n">
        <v>224400</v>
      </c>
      <c r="F25" s="12" t="n">
        <v>0.2670157068062827</v>
      </c>
    </row>
    <row r="26">
      <c r="A26" s="5" t="inlineStr">
        <is>
          <t>Health &amp; Education Cess (4%)</t>
        </is>
      </c>
      <c r="B26" s="6" t="n">
        <v>278784</v>
      </c>
      <c r="C26" s="6" t="n">
        <v>369776</v>
      </c>
      <c r="D26" s="6" t="n">
        <v>468512</v>
      </c>
      <c r="E26" s="7" t="n">
        <v>98736</v>
      </c>
      <c r="F26" s="8" t="n">
        <v>0.2670157068062827</v>
      </c>
    </row>
    <row r="27">
      <c r="A27" s="13" t="inlineStr">
        <is>
          <t>Total Tax Liability</t>
        </is>
      </c>
      <c r="B27" s="14" t="n">
        <v>7248384</v>
      </c>
      <c r="C27" s="14" t="n">
        <v>9614176</v>
      </c>
      <c r="D27" s="14" t="n">
        <v>12181312</v>
      </c>
      <c r="E27" s="15" t="n">
        <v>2567136</v>
      </c>
      <c r="F27" s="16" t="n">
        <v>0.2670157068062827</v>
      </c>
    </row>
    <row r="28">
      <c r="A28" s="5" t="inlineStr">
        <is>
          <t>Less: TDS/TCS Credit</t>
        </is>
      </c>
      <c r="B28" s="6" t="n">
        <v>4850000</v>
      </c>
      <c r="C28" s="6" t="n">
        <v>6230000</v>
      </c>
      <c r="D28" s="6" t="n">
        <v>7840000</v>
      </c>
      <c r="E28" s="7" t="n">
        <v>1610000</v>
      </c>
      <c r="F28" s="8" t="n">
        <v>0.2584269662921349</v>
      </c>
    </row>
    <row r="29">
      <c r="A29" s="9" t="inlineStr">
        <is>
          <t>Less: Advance Tax Paid</t>
        </is>
      </c>
      <c r="B29" s="10" t="n">
        <v>2000000</v>
      </c>
      <c r="C29" s="10" t="n">
        <v>2800000</v>
      </c>
      <c r="D29" s="10" t="n">
        <v>3800000</v>
      </c>
      <c r="E29" s="11" t="n">
        <v>1000000</v>
      </c>
      <c r="F29" s="12" t="n">
        <v>0.3571428571428572</v>
      </c>
    </row>
    <row r="30">
      <c r="A30" s="13" t="inlineStr">
        <is>
          <t>Tax Payable / (Refund)</t>
        </is>
      </c>
      <c r="B30" s="14" t="n">
        <v>398384</v>
      </c>
      <c r="C30" s="14" t="n">
        <v>584176</v>
      </c>
      <c r="D30" s="14" t="n">
        <v>541312</v>
      </c>
      <c r="E30" s="19" t="n">
        <v>-42864</v>
      </c>
      <c r="F30" s="20" t="n">
        <v>-0.07337514721590753</v>
      </c>
    </row>
    <row r="31">
      <c r="A31" s="4" t="inlineStr">
        <is>
          <t>E. FILING DETAILS</t>
        </is>
      </c>
    </row>
    <row r="32">
      <c r="A32" s="5" t="inlineStr">
        <is>
          <t>Date of Filing</t>
        </is>
      </c>
      <c r="B32" s="21" t="inlineStr">
        <is>
          <t>28-Oct-22</t>
        </is>
      </c>
      <c r="C32" s="21" t="inlineStr">
        <is>
          <t>29-Oct-23</t>
        </is>
      </c>
      <c r="D32" s="21" t="inlineStr">
        <is>
          <t>28-Oct-24</t>
        </is>
      </c>
      <c r="E32" s="21" t="inlineStr">
        <is>
          <t>—</t>
        </is>
      </c>
      <c r="F32" s="21" t="inlineStr">
        <is>
          <t>—</t>
        </is>
      </c>
    </row>
    <row r="33">
      <c r="A33" s="9" t="inlineStr">
        <is>
          <t>Filing Mode</t>
        </is>
      </c>
      <c r="B33" s="22" t="inlineStr">
        <is>
          <t>Online</t>
        </is>
      </c>
      <c r="C33" s="22" t="inlineStr">
        <is>
          <t>Online</t>
        </is>
      </c>
      <c r="D33" s="22" t="inlineStr">
        <is>
          <t>Online</t>
        </is>
      </c>
      <c r="E33" s="22" t="inlineStr">
        <is>
          <t>—</t>
        </is>
      </c>
      <c r="F33" s="22" t="inlineStr">
        <is>
          <t>—</t>
        </is>
      </c>
    </row>
    <row r="34">
      <c r="A34" s="5" t="inlineStr">
        <is>
          <t>Acknowledgement No.</t>
        </is>
      </c>
      <c r="B34" s="21" t="inlineStr">
        <is>
          <t>123456780012345</t>
        </is>
      </c>
      <c r="C34" s="21" t="inlineStr">
        <is>
          <t>234567891023456</t>
        </is>
      </c>
      <c r="D34" s="21" t="inlineStr">
        <is>
          <t>345678902034567</t>
        </is>
      </c>
      <c r="E34" s="21" t="inlineStr">
        <is>
          <t>—</t>
        </is>
      </c>
      <c r="F34" s="21" t="inlineStr">
        <is>
          <t>—</t>
        </is>
      </c>
    </row>
    <row r="35">
      <c r="A35" s="9" t="inlineStr">
        <is>
          <t>Status</t>
        </is>
      </c>
      <c r="B35" s="22" t="inlineStr">
        <is>
          <t>Processed</t>
        </is>
      </c>
      <c r="C35" s="22" t="inlineStr">
        <is>
          <t>Processed</t>
        </is>
      </c>
      <c r="D35" s="22" t="inlineStr">
        <is>
          <t>Processed</t>
        </is>
      </c>
      <c r="E35" s="22" t="inlineStr">
        <is>
          <t>—</t>
        </is>
      </c>
      <c r="F35" s="22" t="inlineStr">
        <is>
          <t>—</t>
        </is>
      </c>
    </row>
  </sheetData>
  <mergeCells count="7">
    <mergeCell ref="A2:F2"/>
    <mergeCell ref="A16:F16"/>
    <mergeCell ref="A1:F1"/>
    <mergeCell ref="A5:F5"/>
    <mergeCell ref="A9:F9"/>
    <mergeCell ref="A23:F23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8" customWidth="1" min="4" max="4"/>
    <col width="12" customWidth="1" min="5" max="5"/>
    <col width="18" customWidth="1" min="6" max="6"/>
    <col width="16" customWidth="1" min="7" max="7"/>
  </cols>
  <sheetData>
    <row r="1">
      <c r="A1" s="23" t="inlineStr">
        <is>
          <t>TDS DEDUCTED &amp; DEPOSITED SUMMARY — AY 2024-25</t>
        </is>
      </c>
    </row>
    <row r="3">
      <c r="A3" s="3" t="inlineStr">
        <is>
          <t>Section</t>
        </is>
      </c>
      <c r="B3" s="3" t="inlineStr">
        <is>
          <t>Nature of Payment</t>
        </is>
      </c>
      <c r="C3" s="3" t="inlineStr">
        <is>
          <t>Deductee</t>
        </is>
      </c>
      <c r="D3" s="3" t="inlineStr">
        <is>
          <t>Amount Paid (₹)</t>
        </is>
      </c>
      <c r="E3" s="3" t="inlineStr">
        <is>
          <t>TDS Rate</t>
        </is>
      </c>
      <c r="F3" s="3" t="inlineStr">
        <is>
          <t>TDS Deducted (₹)</t>
        </is>
      </c>
      <c r="G3" s="3" t="inlineStr">
        <is>
          <t>Due Date/Deposit</t>
        </is>
      </c>
    </row>
    <row r="4">
      <c r="A4" s="5" t="inlineStr">
        <is>
          <t>194A</t>
        </is>
      </c>
      <c r="B4" s="5" t="inlineStr">
        <is>
          <t>Interest on Deposits</t>
        </is>
      </c>
      <c r="C4" s="5" t="inlineStr">
        <is>
          <t>Yes Bank Ltd</t>
        </is>
      </c>
      <c r="D4" s="6" t="n">
        <v>480000</v>
      </c>
      <c r="E4" s="21" t="inlineStr">
        <is>
          <t>10</t>
        </is>
      </c>
      <c r="F4" s="24">
        <f>D4*0.10</f>
        <v/>
      </c>
      <c r="G4" s="21" t="inlineStr">
        <is>
          <t>07-May-24</t>
        </is>
      </c>
    </row>
    <row r="5">
      <c r="A5" s="9" t="inlineStr">
        <is>
          <t>194C</t>
        </is>
      </c>
      <c r="B5" s="9" t="inlineStr">
        <is>
          <t>Contractor Payment</t>
        </is>
      </c>
      <c r="C5" s="9" t="inlineStr">
        <is>
          <t>Siemens India</t>
        </is>
      </c>
      <c r="D5" s="10" t="n">
        <v>3850000</v>
      </c>
      <c r="E5" s="22" t="inlineStr">
        <is>
          <t>2</t>
        </is>
      </c>
      <c r="F5" s="25">
        <f>D5*0.02</f>
        <v/>
      </c>
      <c r="G5" s="22" t="inlineStr">
        <is>
          <t>07-Jun-24</t>
        </is>
      </c>
    </row>
    <row r="6">
      <c r="A6" s="5" t="inlineStr">
        <is>
          <t>194H</t>
        </is>
      </c>
      <c r="B6" s="5" t="inlineStr">
        <is>
          <t>Commission</t>
        </is>
      </c>
      <c r="C6" s="5" t="inlineStr">
        <is>
          <t>Global Traders</t>
        </is>
      </c>
      <c r="D6" s="6" t="n">
        <v>620000</v>
      </c>
      <c r="E6" s="21" t="inlineStr">
        <is>
          <t>5</t>
        </is>
      </c>
      <c r="F6" s="24">
        <f>D6*0.05</f>
        <v/>
      </c>
      <c r="G6" s="21" t="inlineStr">
        <is>
          <t>07-Jul-24</t>
        </is>
      </c>
    </row>
    <row r="7">
      <c r="A7" s="9" t="inlineStr">
        <is>
          <t>194I</t>
        </is>
      </c>
      <c r="B7" s="9" t="inlineStr">
        <is>
          <t>Rent – Plant &amp; Machinery</t>
        </is>
      </c>
      <c r="C7" s="9" t="inlineStr">
        <is>
          <t>Infra Leasing Co</t>
        </is>
      </c>
      <c r="D7" s="10" t="n">
        <v>2400000</v>
      </c>
      <c r="E7" s="22" t="inlineStr">
        <is>
          <t>2</t>
        </is>
      </c>
      <c r="F7" s="25">
        <f>D7*0.02</f>
        <v/>
      </c>
      <c r="G7" s="22" t="inlineStr">
        <is>
          <t>07-May-24</t>
        </is>
      </c>
    </row>
    <row r="8">
      <c r="A8" s="5" t="inlineStr">
        <is>
          <t>194I(b)</t>
        </is>
      </c>
      <c r="B8" s="5" t="inlineStr">
        <is>
          <t>Rent – Land &amp; Building</t>
        </is>
      </c>
      <c r="C8" s="5" t="inlineStr">
        <is>
          <t>Realty Ventures</t>
        </is>
      </c>
      <c r="D8" s="6" t="n">
        <v>1800000</v>
      </c>
      <c r="E8" s="21" t="inlineStr">
        <is>
          <t>10</t>
        </is>
      </c>
      <c r="F8" s="24">
        <f>D8*0.10</f>
        <v/>
      </c>
      <c r="G8" s="21" t="inlineStr">
        <is>
          <t>07-Jun-24</t>
        </is>
      </c>
    </row>
    <row r="9">
      <c r="A9" s="9" t="inlineStr">
        <is>
          <t>194J</t>
        </is>
      </c>
      <c r="B9" s="9" t="inlineStr">
        <is>
          <t>Professional Fees</t>
        </is>
      </c>
      <c r="C9" s="9" t="inlineStr">
        <is>
          <t>EY India LLP</t>
        </is>
      </c>
      <c r="D9" s="10" t="n">
        <v>1250000</v>
      </c>
      <c r="E9" s="22" t="inlineStr">
        <is>
          <t>10</t>
        </is>
      </c>
      <c r="F9" s="25">
        <f>D9*0.10</f>
        <v/>
      </c>
      <c r="G9" s="22" t="inlineStr">
        <is>
          <t>07-Apr-24</t>
        </is>
      </c>
    </row>
    <row r="10">
      <c r="A10" s="5" t="inlineStr">
        <is>
          <t>194J</t>
        </is>
      </c>
      <c r="B10" s="5" t="inlineStr">
        <is>
          <t>Professional Fees</t>
        </is>
      </c>
      <c r="C10" s="5" t="inlineStr">
        <is>
          <t>Deloitte India</t>
        </is>
      </c>
      <c r="D10" s="6" t="n">
        <v>980000</v>
      </c>
      <c r="E10" s="21" t="inlineStr">
        <is>
          <t>10</t>
        </is>
      </c>
      <c r="F10" s="24">
        <f>D10*0.10</f>
        <v/>
      </c>
      <c r="G10" s="21" t="inlineStr">
        <is>
          <t>07-May-24</t>
        </is>
      </c>
    </row>
    <row r="11">
      <c r="A11" s="9" t="inlineStr">
        <is>
          <t>194C</t>
        </is>
      </c>
      <c r="B11" s="9" t="inlineStr">
        <is>
          <t>Contractor Payment</t>
        </is>
      </c>
      <c r="C11" s="9" t="inlineStr">
        <is>
          <t>L&amp;T Ltd</t>
        </is>
      </c>
      <c r="D11" s="10" t="n">
        <v>14200000</v>
      </c>
      <c r="E11" s="22" t="inlineStr">
        <is>
          <t>2</t>
        </is>
      </c>
      <c r="F11" s="25">
        <f>D11*0.02</f>
        <v/>
      </c>
      <c r="G11" s="22" t="inlineStr">
        <is>
          <t>07-Aug-24</t>
        </is>
      </c>
    </row>
    <row r="12">
      <c r="A12" s="5" t="inlineStr">
        <is>
          <t>194C</t>
        </is>
      </c>
      <c r="B12" s="5" t="inlineStr">
        <is>
          <t>Contractor Payment</t>
        </is>
      </c>
      <c r="C12" s="5" t="inlineStr">
        <is>
          <t>Thermax Ltd</t>
        </is>
      </c>
      <c r="D12" s="6" t="n">
        <v>8750000</v>
      </c>
      <c r="E12" s="21" t="inlineStr">
        <is>
          <t>2</t>
        </is>
      </c>
      <c r="F12" s="24">
        <f>D12*0.02</f>
        <v/>
      </c>
      <c r="G12" s="21" t="inlineStr">
        <is>
          <t>07-Sep-24</t>
        </is>
      </c>
    </row>
    <row r="13">
      <c r="A13" s="9" t="inlineStr">
        <is>
          <t>192</t>
        </is>
      </c>
      <c r="B13" s="9" t="inlineStr">
        <is>
          <t>Salary</t>
        </is>
      </c>
      <c r="C13" s="9" t="inlineStr">
        <is>
          <t>Employees (320 Nos)</t>
        </is>
      </c>
      <c r="D13" s="10" t="n">
        <v>64800000</v>
      </c>
      <c r="E13" s="22" t="inlineStr">
        <is>
          <t>Slab</t>
        </is>
      </c>
      <c r="F13" s="25">
        <f>D13*0.1215</f>
        <v/>
      </c>
      <c r="G13" s="22" t="inlineStr">
        <is>
          <t>07-Monthly</t>
        </is>
      </c>
    </row>
    <row r="14">
      <c r="A14" s="5" t="inlineStr">
        <is>
          <t>194Q</t>
        </is>
      </c>
      <c r="B14" s="5" t="inlineStr">
        <is>
          <t>Purchase of Goods</t>
        </is>
      </c>
      <c r="C14" s="5" t="inlineStr">
        <is>
          <t>RIL Industries</t>
        </is>
      </c>
      <c r="D14" s="6" t="n">
        <v>23000000</v>
      </c>
      <c r="E14" s="21" t="inlineStr">
        <is>
          <t>10.0%</t>
        </is>
      </c>
      <c r="F14" s="24">
        <f>D14*0.001</f>
        <v/>
      </c>
      <c r="G14" s="21" t="inlineStr">
        <is>
          <t>07-Monthly</t>
        </is>
      </c>
    </row>
    <row r="15">
      <c r="A15" s="9" t="inlineStr">
        <is>
          <t>195</t>
        </is>
      </c>
      <c r="B15" s="9" t="inlineStr">
        <is>
          <t>Payment to Non-Resident</t>
        </is>
      </c>
      <c r="C15" s="9" t="inlineStr">
        <is>
          <t>ABB Switzerland</t>
        </is>
      </c>
      <c r="D15" s="10" t="n">
        <v>4800000</v>
      </c>
      <c r="E15" s="22" t="inlineStr">
        <is>
          <t>10</t>
        </is>
      </c>
      <c r="F15" s="25">
        <f>D15*0.10</f>
        <v/>
      </c>
      <c r="G15" s="22" t="inlineStr">
        <is>
          <t>07-Oct-24</t>
        </is>
      </c>
    </row>
    <row r="16">
      <c r="A16" s="5" t="inlineStr">
        <is>
          <t>194N</t>
        </is>
      </c>
      <c r="B16" s="5" t="inlineStr">
        <is>
          <t>Cash Withdrawal</t>
        </is>
      </c>
      <c r="C16" s="5" t="inlineStr">
        <is>
          <t>Yes Bank Ltd</t>
        </is>
      </c>
      <c r="D16" s="6" t="n">
        <v>2500000</v>
      </c>
      <c r="E16" s="21" t="inlineStr">
        <is>
          <t>2</t>
        </is>
      </c>
      <c r="F16" s="24">
        <f>D16*0.02</f>
        <v/>
      </c>
      <c r="G16" s="21" t="inlineStr">
        <is>
          <t>07-Nov-24</t>
        </is>
      </c>
    </row>
    <row r="17">
      <c r="A17" s="9" t="inlineStr">
        <is>
          <t>194O</t>
        </is>
      </c>
      <c r="B17" s="9" t="inlineStr">
        <is>
          <t>E-Commerce Operator</t>
        </is>
      </c>
      <c r="C17" s="9" t="inlineStr">
        <is>
          <t>Flipkart India</t>
        </is>
      </c>
      <c r="D17" s="10" t="n">
        <v>340000</v>
      </c>
      <c r="E17" s="22" t="inlineStr">
        <is>
          <t>1</t>
        </is>
      </c>
      <c r="F17" s="25">
        <f>D17*0.01</f>
        <v/>
      </c>
      <c r="G17" s="22" t="inlineStr">
        <is>
          <t>07-Oct-24</t>
        </is>
      </c>
    </row>
    <row r="18">
      <c r="A18" s="5" t="inlineStr">
        <is>
          <t>206C(1H)</t>
        </is>
      </c>
      <c r="B18" s="5" t="inlineStr">
        <is>
          <t>TCS on Sale of Goods</t>
        </is>
      </c>
      <c r="C18" s="5" t="inlineStr">
        <is>
          <t>Various Buyers</t>
        </is>
      </c>
      <c r="D18" s="6" t="n">
        <v>184000000</v>
      </c>
      <c r="E18" s="21" t="inlineStr">
        <is>
          <t>10.0%</t>
        </is>
      </c>
      <c r="F18" s="24">
        <f>D18*0.001</f>
        <v/>
      </c>
      <c r="G18" s="21" t="inlineStr">
        <is>
          <t>07-Monthly</t>
        </is>
      </c>
    </row>
    <row r="19">
      <c r="A19" s="9" t="inlineStr">
        <is>
          <t>194B</t>
        </is>
      </c>
      <c r="B19" s="9" t="inlineStr">
        <is>
          <t>Lottery/Winnings</t>
        </is>
      </c>
      <c r="C19" s="9" t="inlineStr">
        <is>
          <t>N/A</t>
        </is>
      </c>
      <c r="D19" s="10" t="n">
        <v>0</v>
      </c>
      <c r="E19" s="22" t="inlineStr">
        <is>
          <t>—</t>
        </is>
      </c>
      <c r="F19" s="25" t="inlineStr">
        <is>
          <t>0</t>
        </is>
      </c>
      <c r="G19" s="22" t="inlineStr">
        <is>
          <t>N/A</t>
        </is>
      </c>
    </row>
    <row r="20">
      <c r="A20" s="5" t="inlineStr">
        <is>
          <t>194DA</t>
        </is>
      </c>
      <c r="B20" s="5" t="inlineStr">
        <is>
          <t>Life Insurance Maturity</t>
        </is>
      </c>
      <c r="C20" s="5" t="inlineStr">
        <is>
          <t>N/A</t>
        </is>
      </c>
      <c r="D20" s="6" t="n">
        <v>0</v>
      </c>
      <c r="E20" s="21" t="inlineStr">
        <is>
          <t>—</t>
        </is>
      </c>
      <c r="F20" s="24" t="inlineStr">
        <is>
          <t>0</t>
        </is>
      </c>
      <c r="G20" s="21" t="inlineStr">
        <is>
          <t>N/A</t>
        </is>
      </c>
    </row>
    <row r="21">
      <c r="A21" s="9" t="inlineStr">
        <is>
          <t>194EE</t>
        </is>
      </c>
      <c r="B21" s="9" t="inlineStr">
        <is>
          <t>NSS Withdrawal</t>
        </is>
      </c>
      <c r="C21" s="9" t="inlineStr">
        <is>
          <t>N/A</t>
        </is>
      </c>
      <c r="D21" s="10" t="n">
        <v>0</v>
      </c>
      <c r="E21" s="22" t="inlineStr">
        <is>
          <t>—</t>
        </is>
      </c>
      <c r="F21" s="25" t="inlineStr">
        <is>
          <t>0</t>
        </is>
      </c>
      <c r="G21" s="22" t="inlineStr">
        <is>
          <t>N/A</t>
        </is>
      </c>
    </row>
    <row r="22">
      <c r="A22" s="5" t="inlineStr">
        <is>
          <t>194P</t>
        </is>
      </c>
      <c r="B22" s="5" t="inlineStr">
        <is>
          <t>Senior Citizen</t>
        </is>
      </c>
      <c r="C22" s="5" t="inlineStr">
        <is>
          <t>N/A</t>
        </is>
      </c>
      <c r="D22" s="6" t="n">
        <v>0</v>
      </c>
      <c r="E22" s="21" t="inlineStr">
        <is>
          <t>—</t>
        </is>
      </c>
      <c r="F22" s="24" t="inlineStr">
        <is>
          <t>0</t>
        </is>
      </c>
      <c r="G22" s="21" t="inlineStr">
        <is>
          <t>N/A</t>
        </is>
      </c>
    </row>
    <row r="23">
      <c r="A23" s="9" t="inlineStr">
        <is>
          <t>194S</t>
        </is>
      </c>
      <c r="B23" s="9" t="inlineStr">
        <is>
          <t>Crypto VDA</t>
        </is>
      </c>
      <c r="C23" s="9" t="inlineStr">
        <is>
          <t>N/A</t>
        </is>
      </c>
      <c r="D23" s="10" t="n">
        <v>0</v>
      </c>
      <c r="E23" s="22" t="inlineStr">
        <is>
          <t>1%</t>
        </is>
      </c>
      <c r="F23" s="25" t="inlineStr">
        <is>
          <t>0</t>
        </is>
      </c>
      <c r="G23" s="22" t="inlineStr">
        <is>
          <t>N/A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2026-03-03T14:35:07Z</dcterms:created>
  <dcterms:modified xmlns:dcterms="http://purl.org/dc/terms/" xmlns:xsi="http://www.w3.org/2001/XMLSchema-instance" xsi:type="dcterms:W3CDTF">2026-03-03T14:35:07Z</dcterms:modified>
</cp:coreProperties>
</file>